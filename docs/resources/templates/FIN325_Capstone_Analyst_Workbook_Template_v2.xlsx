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mpany Inputs" sheetId="2" state="visible" r:id="rId2"/>
    <sheet xmlns:r="http://schemas.openxmlformats.org/officeDocument/2006/relationships" name="Financial Health" sheetId="3" state="visible" r:id="rId3"/>
    <sheet xmlns:r="http://schemas.openxmlformats.org/officeDocument/2006/relationships" name="Valuation" sheetId="4" state="visible" r:id="rId4"/>
    <sheet xmlns:r="http://schemas.openxmlformats.org/officeDocument/2006/relationships" name="Risk and Return" sheetId="5" state="visible" r:id="rId5"/>
    <sheet xmlns:r="http://schemas.openxmlformats.org/officeDocument/2006/relationships" name="WACC" sheetId="6" state="visible" r:id="rId6"/>
    <sheet xmlns:r="http://schemas.openxmlformats.org/officeDocument/2006/relationships" name="Capital Allocation" sheetId="7" state="visible" r:id="rId7"/>
    <sheet xmlns:r="http://schemas.openxmlformats.org/officeDocument/2006/relationships" name="Strategic Finance" sheetId="8" state="visible" r:id="rId8"/>
    <sheet xmlns:r="http://schemas.openxmlformats.org/officeDocument/2006/relationships" name="Dashboard" sheetId="9" state="visible" r:id="rId9"/>
    <sheet xmlns:r="http://schemas.openxmlformats.org/officeDocument/2006/relationships" name="Sources" sheetId="10" state="visible" r:id="rId10"/>
  </sheets>
  <definedNames/>
  <calcPr calcId="124519" calcMode="auto" fullCalcOnLoad="1"/>
</workbook>
</file>

<file path=xl/styles.xml><?xml version="1.0" encoding="utf-8"?>
<styleSheet xmlns="http://schemas.openxmlformats.org/spreadsheetml/2006/main">
  <numFmts count="6">
    <numFmt numFmtId="164" formatCode="$#,##0.00;[Red]($#,##0.00);-"/>
    <numFmt numFmtId="165" formatCode="#,##0.0;[Red](#,##0.0);-"/>
    <numFmt numFmtId="166" formatCode="$#,##0.0;[Red]($#,##0.0);-"/>
    <numFmt numFmtId="167" formatCode="0.0%;[Red](0.0%);-"/>
    <numFmt numFmtId="168" formatCode="0.0x;[Red](0.0x);-"/>
    <numFmt numFmtId="169" formatCode="#,##0;[Red](#,##0);-"/>
  </numFmts>
  <fonts count="10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color rgb="00E6F1F7"/>
      <sz val="11"/>
    </font>
    <font>
      <b val="1"/>
      <color rgb="00FFFFFF"/>
    </font>
    <font>
      <b val="1"/>
      <color rgb="001F3A5F"/>
    </font>
    <font>
      <name val="Calibri"/>
      <family val="2"/>
      <color theme="10"/>
      <sz val="12"/>
      <scheme val="minor"/>
    </font>
    <font>
      <color rgb="002CA6A4"/>
      <sz val="9"/>
      <u val="single"/>
    </font>
    <font>
      <color rgb="000000FF"/>
    </font>
    <font>
      <color rgb="00000000"/>
    </font>
    <font>
      <color rgb="00008000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63238"/>
      </patternFill>
    </fill>
    <fill>
      <patternFill patternType="solid">
        <fgColor rgb="00FFF2CC"/>
      </patternFill>
    </fill>
    <fill>
      <patternFill patternType="solid">
        <fgColor rgb="00DDF3F2"/>
      </patternFill>
    </fill>
    <fill>
      <patternFill patternType="solid">
        <fgColor rgb="00F3E7D8"/>
      </patternFill>
    </fill>
  </fills>
  <borders count="3">
    <border>
      <left/>
      <right/>
      <top/>
      <bottom/>
      <diagonal/>
    </border>
    <border>
      <bottom style="thin">
        <color rgb="00D9E2EC"/>
      </bottom>
    </border>
    <border>
      <bottom style="medium">
        <color rgb="001F3A5F"/>
      </bottom>
    </border>
  </borders>
  <cellStyleXfs count="2">
    <xf numFmtId="0" fontId="0" fillId="0" borderId="0"/>
    <xf numFmtId="0" fontId="5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0" borderId="0" applyAlignment="1" pivotButton="0" quotePrefix="0" xfId="1">
      <alignment vertical="top" wrapText="1"/>
    </xf>
    <xf numFmtId="0" fontId="7" fillId="4" borderId="1" applyAlignment="1" pivotButton="0" quotePrefix="0" xfId="0">
      <alignment vertical="top" wrapText="1"/>
    </xf>
    <xf numFmtId="164" fontId="7" fillId="4" borderId="1" applyAlignment="1" pivotButton="0" quotePrefix="0" xfId="0">
      <alignment vertical="top" wrapText="1"/>
    </xf>
    <xf numFmtId="165" fontId="7" fillId="4" borderId="1" applyAlignment="1" pivotButton="0" quotePrefix="0" xfId="0">
      <alignment vertical="top" wrapText="1"/>
    </xf>
    <xf numFmtId="166" fontId="7" fillId="4" borderId="1" applyAlignment="1" pivotButton="0" quotePrefix="0" xfId="0">
      <alignment vertical="top" wrapText="1"/>
    </xf>
    <xf numFmtId="167" fontId="7" fillId="4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167" fontId="0" fillId="0" borderId="1" applyAlignment="1" pivotButton="0" quotePrefix="0" xfId="0">
      <alignment vertical="top" wrapText="1"/>
    </xf>
    <xf numFmtId="167" fontId="8" fillId="0" borderId="1" applyAlignment="1" pivotButton="0" quotePrefix="0" xfId="0">
      <alignment vertical="top" wrapText="1"/>
    </xf>
    <xf numFmtId="168" fontId="8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164" fontId="9" fillId="5" borderId="1" applyAlignment="1" pivotButton="0" quotePrefix="0" xfId="0">
      <alignment vertical="top" wrapText="1"/>
    </xf>
    <xf numFmtId="167" fontId="9" fillId="5" borderId="1" applyAlignment="1" pivotButton="0" quotePrefix="0" xfId="0">
      <alignment vertical="top" wrapText="1"/>
    </xf>
    <xf numFmtId="168" fontId="7" fillId="4" borderId="1" applyAlignment="1" pivotButton="0" quotePrefix="0" xfId="0">
      <alignment vertical="top" wrapText="1"/>
    </xf>
    <xf numFmtId="166" fontId="9" fillId="5" borderId="1" applyAlignment="1" pivotButton="0" quotePrefix="0" xfId="0">
      <alignment vertical="top" wrapText="1"/>
    </xf>
    <xf numFmtId="165" fontId="9" fillId="5" borderId="1" applyAlignment="1" pivotButton="0" quotePrefix="0" xfId="0">
      <alignment vertical="top" wrapText="1"/>
    </xf>
    <xf numFmtId="164" fontId="8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6" fontId="8" fillId="0" borderId="1" applyAlignment="1" pivotButton="0" quotePrefix="0" xfId="0">
      <alignment vertical="top" wrapText="1"/>
    </xf>
    <xf numFmtId="169" fontId="7" fillId="4" borderId="1" applyAlignment="1" pivotButton="0" quotePrefix="0" xfId="0">
      <alignment vertical="top" wrapText="1"/>
    </xf>
    <xf numFmtId="165" fontId="8" fillId="0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168" fontId="9" fillId="5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FIN 325</author>
  </authors>
  <commentList>
    <comment ref="B5" authorId="0" shapeId="0">
      <text>
        <t>Student input. Replace sample value with company-specific data and record the source in the Sources tab.</t>
      </text>
    </comment>
    <comment ref="B6" authorId="0" shapeId="0">
      <text>
        <t>Student input. Replace sample value with company-specific data and record the source in the Sources tab.</t>
      </text>
    </comment>
    <comment ref="B7" authorId="0" shapeId="0">
      <text>
        <t>Student input. Replace sample value with company-specific data and record the source in the Sources tab.</t>
      </text>
    </comment>
    <comment ref="B8" authorId="0" shapeId="0">
      <text>
        <t>Student input. Replace sample value with company-specific data and record the source in the Sources tab.</t>
      </text>
    </comment>
    <comment ref="B9" authorId="0" shapeId="0">
      <text>
        <t>Student input. Replace sample value with company-specific data and record the source in the Sources tab.</t>
      </text>
    </comment>
    <comment ref="B10" authorId="0" shapeId="0">
      <text>
        <t>Student input. Replace sample value with company-specific data and record the source in the Sources tab.</t>
      </text>
    </comment>
    <comment ref="B11" authorId="0" shapeId="0">
      <text>
        <t>Student input. Replace sample value with company-specific data and record the source in the Sources tab.</t>
      </text>
    </comment>
    <comment ref="B12" authorId="0" shapeId="0">
      <text>
        <t>Student input. Replace sample value with company-specific data and record the source in the Sources tab.</t>
      </text>
    </comment>
    <comment ref="B13" authorId="0" shapeId="0">
      <text>
        <t>Student input. Replace sample value with company-specific data and record the source in the Sources tab.</t>
      </text>
    </comment>
    <comment ref="B14" authorId="0" shapeId="0">
      <text>
        <t>Student input. Replace sample value with company-specific data and record the source in the Sources tab.</t>
      </text>
    </comment>
    <comment ref="B19" authorId="0" shapeId="0">
      <text>
        <t>Student input. Replace sample value with company-specific data and record the source in the Sources tab.</t>
      </text>
    </comment>
    <comment ref="C19" authorId="0" shapeId="0">
      <text>
        <t>Student input. Replace sample value with company-specific data and record the source in the Sources tab.</t>
      </text>
    </comment>
    <comment ref="D19" authorId="0" shapeId="0">
      <text>
        <t>Student input. Replace sample value with company-specific data and record the source in the Sources tab.</t>
      </text>
    </comment>
    <comment ref="B20" authorId="0" shapeId="0">
      <text>
        <t>Student input. Replace sample value with company-specific data and record the source in the Sources tab.</t>
      </text>
    </comment>
    <comment ref="C20" authorId="0" shapeId="0">
      <text>
        <t>Student input. Replace sample value with company-specific data and record the source in the Sources tab.</t>
      </text>
    </comment>
    <comment ref="D20" authorId="0" shapeId="0">
      <text>
        <t>Student input. Replace sample value with company-specific data and record the source in the Sources tab.</t>
      </text>
    </comment>
    <comment ref="B21" authorId="0" shapeId="0">
      <text>
        <t>Student input. Replace sample value with company-specific data and record the source in the Sources tab.</t>
      </text>
    </comment>
    <comment ref="C21" authorId="0" shapeId="0">
      <text>
        <t>Student input. Replace sample value with company-specific data and record the source in the Sources tab.</t>
      </text>
    </comment>
    <comment ref="D21" authorId="0" shapeId="0">
      <text>
        <t>Student input. Replace sample value with company-specific data and record the source in the Sources tab.</t>
      </text>
    </comment>
    <comment ref="B22" authorId="0" shapeId="0">
      <text>
        <t>Student input. Replace sample value with company-specific data and record the source in the Sources tab.</t>
      </text>
    </comment>
    <comment ref="C22" authorId="0" shapeId="0">
      <text>
        <t>Student input. Replace sample value with company-specific data and record the source in the Sources tab.</t>
      </text>
    </comment>
    <comment ref="D22" authorId="0" shapeId="0">
      <text>
        <t>Student input. Replace sample value with company-specific data and record the source in the Sources tab.</t>
      </text>
    </comment>
    <comment ref="B23" authorId="0" shapeId="0">
      <text>
        <t>Student input. Replace sample value with company-specific data and record the source in the Sources tab.</t>
      </text>
    </comment>
    <comment ref="C23" authorId="0" shapeId="0">
      <text>
        <t>Student input. Replace sample value with company-specific data and record the source in the Sources tab.</t>
      </text>
    </comment>
    <comment ref="D23" authorId="0" shapeId="0">
      <text>
        <t>Student input. Replace sample value with company-specific data and record the source in the Sources tab.</t>
      </text>
    </comment>
    <comment ref="B24" authorId="0" shapeId="0">
      <text>
        <t>Student input. Replace sample value with company-specific data and record the source in the Sources tab.</t>
      </text>
    </comment>
    <comment ref="C24" authorId="0" shapeId="0">
      <text>
        <t>Student input. Replace sample value with company-specific data and record the source in the Sources tab.</t>
      </text>
    </comment>
    <comment ref="D24" authorId="0" shapeId="0">
      <text>
        <t>Student input. Replace sample value with company-specific data and record the source in the Sources tab.</t>
      </text>
    </comment>
    <comment ref="B25" authorId="0" shapeId="0">
      <text>
        <t>Student input. Replace sample value with company-specific data and record the source in the Sources tab.</t>
      </text>
    </comment>
    <comment ref="C25" authorId="0" shapeId="0">
      <text>
        <t>Student input. Replace sample value with company-specific data and record the source in the Sources tab.</t>
      </text>
    </comment>
    <comment ref="D25" authorId="0" shapeId="0">
      <text>
        <t>Student input. Replace sample value with company-specific data and record the source in the Sources tab.</t>
      </text>
    </comment>
    <comment ref="B26" authorId="0" shapeId="0">
      <text>
        <t>Student input. Replace sample value with company-specific data and record the source in the Sources tab.</t>
      </text>
    </comment>
    <comment ref="C26" authorId="0" shapeId="0">
      <text>
        <t>Student input. Replace sample value with company-specific data and record the source in the Sources tab.</t>
      </text>
    </comment>
    <comment ref="D26" authorId="0" shapeId="0">
      <text>
        <t>Student input. Replace sample value with company-specific data and record the source in the Sources tab.</t>
      </text>
    </comment>
    <comment ref="B27" authorId="0" shapeId="0">
      <text>
        <t>Student input. Replace sample value with company-specific data and record the source in the Sources tab.</t>
      </text>
    </comment>
    <comment ref="C27" authorId="0" shapeId="0">
      <text>
        <t>Student input. Replace sample value with company-specific data and record the source in the Sources tab.</t>
      </text>
    </comment>
    <comment ref="D27" authorId="0" shapeId="0">
      <text>
        <t>Student input. Replace sample value with company-specific data and record the source in the Sources tab.</t>
      </text>
    </comment>
    <comment ref="B28" authorId="0" shapeId="0">
      <text>
        <t>Student input. Replace sample value with company-specific data and record the source in the Sources tab.</t>
      </text>
    </comment>
    <comment ref="C28" authorId="0" shapeId="0">
      <text>
        <t>Student input. Replace sample value with company-specific data and record the source in the Sources tab.</t>
      </text>
    </comment>
    <comment ref="D28" authorId="0" shapeId="0">
      <text>
        <t>Student input. Replace sample value with company-specific data and record the source in the Sources tab.</t>
      </text>
    </comment>
    <comment ref="B29" authorId="0" shapeId="0">
      <text>
        <t>Student input. Replace sample value with company-specific data and record the source in the Sources tab.</t>
      </text>
    </comment>
    <comment ref="C29" authorId="0" shapeId="0">
      <text>
        <t>Student input. Replace sample value with company-specific data and record the source in the Sources tab.</t>
      </text>
    </comment>
    <comment ref="D29" authorId="0" shapeId="0">
      <text>
        <t>Student input. Replace sample value with company-specific data and record the source in the Sources tab.</t>
      </text>
    </comment>
    <comment ref="B30" authorId="0" shapeId="0">
      <text>
        <t>Student input. Replace sample value with company-specific data and record the source in the Sources tab.</t>
      </text>
    </comment>
    <comment ref="C30" authorId="0" shapeId="0">
      <text>
        <t>Student input. Replace sample value with company-specific data and record the source in the Sources tab.</t>
      </text>
    </comment>
    <comment ref="D30" authorId="0" shapeId="0">
      <text>
        <t>Student input. Replace sample value with company-specific data and record the source in the Sources tab.</t>
      </text>
    </comment>
    <comment ref="B31" authorId="0" shapeId="0">
      <text>
        <t>Student input. Replace sample value with company-specific data and record the source in the Sources tab.</t>
      </text>
    </comment>
    <comment ref="C31" authorId="0" shapeId="0">
      <text>
        <t>Student input. Replace sample value with company-specific data and record the source in the Sources tab.</t>
      </text>
    </comment>
    <comment ref="D31" authorId="0" shapeId="0">
      <text>
        <t>Student input. Replace sample value with company-specific data and record the source in the Sources tab.</t>
      </text>
    </comment>
    <comment ref="B32" authorId="0" shapeId="0">
      <text>
        <t>Student input. Replace sample value with company-specific data and record the source in the Sources tab.</t>
      </text>
    </comment>
    <comment ref="C32" authorId="0" shapeId="0">
      <text>
        <t>Student input. Replace sample value with company-specific data and record the source in the Sources tab.</t>
      </text>
    </comment>
    <comment ref="D32" authorId="0" shapeId="0">
      <text>
        <t>Student input. Replace sample value with company-specific data and record the source in the Sources tab.</t>
      </text>
    </comment>
    <comment ref="B33" authorId="0" shapeId="0">
      <text>
        <t>Student input. Replace sample value with company-specific data and record the source in the Sources tab.</t>
      </text>
    </comment>
    <comment ref="C33" authorId="0" shapeId="0">
      <text>
        <t>Student input. Replace sample value with company-specific data and record the source in the Sources tab.</t>
      </text>
    </comment>
    <comment ref="D33" authorId="0" shapeId="0">
      <text>
        <t>Student input. Replace sample value with company-specific data and record the source in the Sources tab.</t>
      </text>
    </comment>
    <comment ref="B34" authorId="0" shapeId="0">
      <text>
        <t>Student input. Replace sample value with company-specific data and record the source in the Sources tab.</t>
      </text>
    </comment>
    <comment ref="C34" authorId="0" shapeId="0">
      <text>
        <t>Student input. Replace sample value with company-specific data and record the source in the Sources tab.</t>
      </text>
    </comment>
    <comment ref="D34" authorId="0" shapeId="0">
      <text>
        <t>Student input. Replace sample value with company-specific data and record the source in the Sources tab.</t>
      </text>
    </comment>
    <comment ref="B35" authorId="0" shapeId="0">
      <text>
        <t>Student input. Replace sample value with company-specific data and record the source in the Sources tab.</t>
      </text>
    </comment>
    <comment ref="C35" authorId="0" shapeId="0">
      <text>
        <t>Student input. Replace sample value with company-specific data and record the source in the Sources tab.</t>
      </text>
    </comment>
    <comment ref="D35" authorId="0" shapeId="0">
      <text>
        <t>Student input. Replace sample value with company-specific data and record the source in the Sources tab.</t>
      </text>
    </comment>
    <comment ref="B36" authorId="0" shapeId="0">
      <text>
        <t>Student input. Replace sample value with company-specific data and record the source in the Sources tab.</t>
      </text>
    </comment>
    <comment ref="C36" authorId="0" shapeId="0">
      <text>
        <t>Student input. Replace sample value with company-specific data and record the source in the Sources tab.</t>
      </text>
    </comment>
    <comment ref="D36" authorId="0" shapeId="0">
      <text>
        <t>Student input. Replace sample value with company-specific data and record the source in the Sources tab.</t>
      </text>
    </comment>
    <comment ref="B37" authorId="0" shapeId="0">
      <text>
        <t>Student input. Replace sample value with company-specific data and record the source in the Sources tab.</t>
      </text>
    </comment>
    <comment ref="C37" authorId="0" shapeId="0">
      <text>
        <t>Student input. Replace sample value with company-specific data and record the source in the Sources tab.</t>
      </text>
    </comment>
    <comment ref="D37" authorId="0" shapeId="0">
      <text>
        <t>Student input. Replace sample value with company-specific data and record the source in the Sources tab.</t>
      </text>
    </comment>
    <comment ref="B38" authorId="0" shapeId="0">
      <text>
        <t>Student input. Replace sample value with company-specific data and record the source in the Sources tab.</t>
      </text>
    </comment>
    <comment ref="C38" authorId="0" shapeId="0">
      <text>
        <t>Student input. Replace sample value with company-specific data and record the source in the Sources tab.</t>
      </text>
    </comment>
    <comment ref="D38" authorId="0" shapeId="0">
      <text>
        <t>Student input. Replace sample value with company-specific data and record the source in the Sources tab.</t>
      </text>
    </comment>
  </commentList>
</comments>
</file>

<file path=xl/comments/comment2.xml><?xml version="1.0" encoding="utf-8"?>
<comments xmlns="http://schemas.openxmlformats.org/spreadsheetml/2006/main">
  <authors>
    <author>FIN 325</author>
  </authors>
  <commentList>
    <comment ref="B21" authorId="0" shapeId="0">
      <text>
        <t>Student input. Replace sample value with company-specific data and record the source in the Sources tab.</t>
      </text>
    </comment>
    <comment ref="B22" authorId="0" shapeId="0">
      <text>
        <t>Student input. Replace sample value with company-specific data and record the source in the Sources tab.</t>
      </text>
    </comment>
    <comment ref="B23" authorId="0" shapeId="0">
      <text>
        <t>Student input. Replace sample value with company-specific data and record the source in the Sources tab.</t>
      </text>
    </comment>
  </commentList>
</comments>
</file>

<file path=xl/comments/comment3.xml><?xml version="1.0" encoding="utf-8"?>
<comments xmlns="http://schemas.openxmlformats.org/spreadsheetml/2006/main">
  <authors>
    <author>FIN 325</author>
  </authors>
  <commentList>
    <comment ref="B6" authorId="0" shapeId="0">
      <text>
        <t>Student input. Replace sample value with company-specific data and record the source in the Sources tab.</t>
      </text>
    </comment>
    <comment ref="B7" authorId="0" shapeId="0">
      <text>
        <t>Student input. Replace sample value with company-specific data and record the source in the Sources tab.</t>
      </text>
    </comment>
    <comment ref="B9" authorId="0" shapeId="0">
      <text>
        <t>Student input. Replace sample value with company-specific data and record the source in the Sources tab.</t>
      </text>
    </comment>
    <comment ref="B10" authorId="0" shapeId="0">
      <text>
        <t>Student input. Replace sample value with company-specific data and record the source in the Sources tab.</t>
      </text>
    </comment>
    <comment ref="B12" authorId="0" shapeId="0">
      <text>
        <t>Student input. Replace sample value with company-specific data and record the source in the Sources tab.</t>
      </text>
    </comment>
    <comment ref="B13" authorId="0" shapeId="0">
      <text>
        <t>Student input. Replace sample value with company-specific data and record the source in the Sources tab.</t>
      </text>
    </comment>
  </commentList>
</comments>
</file>

<file path=xl/comments/comment4.xml><?xml version="1.0" encoding="utf-8"?>
<comments xmlns="http://schemas.openxmlformats.org/spreadsheetml/2006/main">
  <authors>
    <author>FIN 325</author>
  </authors>
  <commentList>
    <comment ref="B5" authorId="0" shapeId="0">
      <text>
        <t>Student input. Replace sample value with company-specific data and record the source in the Sources tab.</t>
      </text>
    </comment>
    <comment ref="B6" authorId="0" shapeId="0">
      <text>
        <t>Student input. Replace sample value with company-specific data and record the source in the Sources tab.</t>
      </text>
    </comment>
    <comment ref="B7" authorId="0" shapeId="0">
      <text>
        <t>Student input. Replace sample value with company-specific data and record the source in the Sources tab.</t>
      </text>
    </comment>
    <comment ref="B8" authorId="0" shapeId="0">
      <text>
        <t>Student input. Replace sample value with company-specific data and record the source in the Sources tab.</t>
      </text>
    </comment>
    <comment ref="B9" authorId="0" shapeId="0">
      <text>
        <t>Student input. Replace sample value with company-specific data and record the source in the Sources tab.</t>
      </text>
    </comment>
    <comment ref="B10" authorId="0" shapeId="0">
      <text>
        <t>Student input. Replace sample value with company-specific data and record the source in the Sources tab.</t>
      </text>
    </comment>
  </commentList>
</comments>
</file>

<file path=xl/comments/comment5.xml><?xml version="1.0" encoding="utf-8"?>
<comments xmlns="http://schemas.openxmlformats.org/spreadsheetml/2006/main">
  <authors>
    <author>FIN 325</author>
  </authors>
  <commentList>
    <comment ref="B9" authorId="0" shapeId="0">
      <text>
        <t>Student input. Replace sample value with company-specific data and record the source in the Sources tab.</t>
      </text>
    </comment>
  </commentList>
</comments>
</file>

<file path=xl/comments/comment6.xml><?xml version="1.0" encoding="utf-8"?>
<comments xmlns="http://schemas.openxmlformats.org/spreadsheetml/2006/main">
  <authors>
    <author>FIN 325</author>
  </authors>
  <commentList>
    <comment ref="B5" authorId="0" shapeId="0">
      <text>
        <t>Student input. Replace sample value with company-specific data and record the source in the Sources tab.</t>
      </text>
    </comment>
    <comment ref="B6" authorId="0" shapeId="0">
      <text>
        <t>Student input. Replace sample value with company-specific data and record the source in the Sources tab.</t>
      </text>
    </comment>
    <comment ref="B7" authorId="0" shapeId="0">
      <text>
        <t>Student input. Replace sample value with company-specific data and record the source in the Sources tab.</t>
      </text>
    </comment>
    <comment ref="B9" authorId="0" shapeId="0">
      <text>
        <t>Student input. Replace sample value with company-specific data and record the source in the Sources tab.</t>
      </text>
    </comment>
    <comment ref="B10" authorId="0" shapeId="0">
      <text>
        <t>Student input. Replace sample value with company-specific data and record the source in the Sources tab.</t>
      </text>
    </comment>
  </commentList>
</comments>
</file>

<file path=xl/comments/comment7.xml><?xml version="1.0" encoding="utf-8"?>
<comments xmlns="http://schemas.openxmlformats.org/spreadsheetml/2006/main">
  <authors>
    <author>FIN 325</author>
  </authors>
  <commentList>
    <comment ref="B5" authorId="0" shapeId="0">
      <text>
        <t>Student input. Replace sample value with company-specific data and record the source in the Sources tab.</t>
      </text>
    </comment>
    <comment ref="B6" authorId="0" shapeId="0">
      <text>
        <t>Student input. Replace sample value with company-specific data and record the source in the Sources tab.</t>
      </text>
    </comment>
    <comment ref="B7" authorId="0" shapeId="0">
      <text>
        <t>Student input. Replace sample value with company-specific data and record the source in the Sources tab.</t>
      </text>
    </comment>
    <comment ref="B8" authorId="0" shapeId="0">
      <text>
        <t>Student input. Replace sample value with company-specific data and record the source in the Sources tab.</t>
      </text>
    </comment>
    <comment ref="B10" authorId="0" shapeId="0">
      <text>
        <t>Student input. Replace sample value with company-specific data and record the source in the Sources tab.</t>
      </text>
    </comment>
    <comment ref="B12" authorId="0" shapeId="0">
      <text>
        <t>Student input. Replace sample value with company-specific data and record the source in the Sources tab.</t>
      </text>
    </comment>
    <comment ref="B13" authorId="0" shapeId="0">
      <text>
        <t>Student input. Replace sample value with company-specific data and record the source in the Sources tab.</t>
      </text>
    </comment>
    <comment ref="B14" authorId="0" shapeId="0">
      <text>
        <t>Student input. Replace sample value with company-specific data and record the source in the Sources tab.</t>
      </text>
    </comment>
    <comment ref="B32" authorId="0" shapeId="0">
      <text>
        <t>Student input. Replace sample value with company-specific data and record the source in the Sources tab.</t>
      </text>
    </comment>
    <comment ref="B33" authorId="0" shapeId="0">
      <text>
        <t>Student input. Replace sample value with company-specific data and record the source in the Sources tab.</t>
      </text>
    </comment>
    <comment ref="B34" authorId="0" shapeId="0">
      <text>
        <t>Student input. Replace sample value with company-specific data and record the source in the Sources tab.</t>
      </text>
    </comment>
  </commentList>
</comments>
</file>

<file path=xl/comments/comment8.xml><?xml version="1.0" encoding="utf-8"?>
<comments xmlns="http://schemas.openxmlformats.org/spreadsheetml/2006/main">
  <authors>
    <author>FIN 325</author>
  </authors>
  <commentList>
    <comment ref="B8" authorId="0" shapeId="0">
      <text>
        <t>Student input. Replace sample value with company-specific data and record the source in the Sources tab.</t>
      </text>
    </comment>
    <comment ref="B9" authorId="0" shapeId="0">
      <text>
        <t>Student input. Replace sample value with company-specific data and record the source in the Sources tab.</t>
      </text>
    </comment>
    <comment ref="B10" authorId="0" shapeId="0">
      <text>
        <t>Student input. Replace sample value with company-specific data and record the source in the Sources tab.</t>
      </text>
    </comment>
    <comment ref="D15" authorId="0" shapeId="0">
      <text>
        <t>Student input. Replace sample value with company-specific data and record the source in the Sources tab.</t>
      </text>
    </comment>
    <comment ref="D16" authorId="0" shapeId="0">
      <text>
        <t>Student input. Replace sample value with company-specific data and record the source in the Sources tab.</t>
      </text>
    </comment>
    <comment ref="D17" authorId="0" shapeId="0">
      <text>
        <t>Student input. Replace sample value with company-specific data and record the source in the Sources tab.</t>
      </text>
    </comment>
    <comment ref="D18" authorId="0" shapeId="0">
      <text>
        <t>Student input. Replace sample value with company-specific data and record the source in the Sources tab.</t>
      </text>
    </comment>
    <comment ref="D19" authorId="0" shapeId="0">
      <text>
        <t>Student input. Replace sample value with company-specific data and record the source in the Sources tab.</t>
      </text>
    </comment>
    <comment ref="D20" authorId="0" shapeId="0">
      <text>
        <t>Student input. Replace sample value with company-specific data and record the source in the Sources tab.</t>
      </text>
    </comment>
    <comment ref="B26" authorId="0" shapeId="0">
      <text>
        <t>Student input. Replace sample value with company-specific data and record the source in the Sources tab.</t>
      </text>
    </comment>
    <comment ref="B27" authorId="0" shapeId="0">
      <text>
        <t>Student input. Replace sample value with company-specific data and record the source in the Sources tab.</t>
      </text>
    </comment>
    <comment ref="B28" authorId="0" shapeId="0">
      <text>
        <t>Student input. Replace sample value with company-specific data and record the source in the Sources tab.</t>
      </text>
    </comment>
    <comment ref="B29" authorId="0" shapeId="0">
      <text>
        <t>Student input. Replace sample value with company-specific data and record the source in the Sources tab.</t>
      </text>
    </comment>
    <comment ref="B30" authorId="0" shapeId="0">
      <text>
        <t>Student input. Replace sample value with company-specific data and record the source in the Sources tab.</t>
      </text>
    </comment>
    <comment ref="B31" authorId="0" shapeId="0">
      <text>
        <t>Student input. Replace sample value with company-specific data and record the source in the Sources tab.</t>
      </text>
    </comment>
    <comment ref="B32" authorId="0" shapeId="0">
      <text>
        <t>Student input. Replace sample value with company-specific data and record the source in the Sources tab.</t>
      </text>
    </comment>
    <comment ref="B33" authorId="0" shapeId="0">
      <text>
        <t>Student input. Replace sample value with company-specific data and record the source in the Sources tab.</t>
      </text>
    </comment>
    <comment ref="B34" authorId="0" shapeId="0">
      <text>
        <t>Student input. Replace sample value with company-specific data and record the source in the Sources tab.</t>
      </text>
    </comment>
    <comment ref="B35" authorId="0" shapeId="0">
      <text>
        <t>Student input. Replace sample value with company-specific data and record the source in the Sources tab.</t>
      </text>
    </comment>
    <comment ref="B36" authorId="0" shapeId="0">
      <text>
        <t>Student input. Replace sample value with company-specific data and record the source in the Sources tab.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README!A1" TargetMode="External" Id="rId1"/><Relationship Type="http://schemas.openxmlformats.org/officeDocument/2006/relationships/hyperlink" Target="#'Company Inputs'!A1" TargetMode="External" Id="rId2"/><Relationship Type="http://schemas.openxmlformats.org/officeDocument/2006/relationships/hyperlink" Target="#Dashboard!A1" TargetMode="External" Id="rId3"/><Relationship Type="http://schemas.openxmlformats.org/officeDocument/2006/relationships/hyperlink" Target="#Sources!A1" TargetMode="External" Id="rId4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#README!A1" TargetMode="External" Id="rId1"/><Relationship Type="http://schemas.openxmlformats.org/officeDocument/2006/relationships/hyperlink" Target="#'Company Inputs'!A1" TargetMode="External" Id="rId2"/><Relationship Type="http://schemas.openxmlformats.org/officeDocument/2006/relationships/hyperlink" Target="#Dashboard!A1" TargetMode="External" Id="rId3"/><Relationship Type="http://schemas.openxmlformats.org/officeDocument/2006/relationships/hyperlink" Target="#Sources!A1" TargetMode="External" Id="rId4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#README!A1" TargetMode="External" Id="rId1"/><Relationship Type="http://schemas.openxmlformats.org/officeDocument/2006/relationships/hyperlink" Target="#'Company Inputs'!A1" TargetMode="External" Id="rId2"/><Relationship Type="http://schemas.openxmlformats.org/officeDocument/2006/relationships/hyperlink" Target="#Dashboard!A1" TargetMode="External" Id="rId3"/><Relationship Type="http://schemas.openxmlformats.org/officeDocument/2006/relationships/hyperlink" Target="#Sources!A1" TargetMode="Externa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hyperlink" Target="#README!A1" TargetMode="External" Id="rId1"/><Relationship Type="http://schemas.openxmlformats.org/officeDocument/2006/relationships/hyperlink" Target="#'Company Inputs'!A1" TargetMode="External" Id="rId2"/><Relationship Type="http://schemas.openxmlformats.org/officeDocument/2006/relationships/hyperlink" Target="#Dashboard!A1" TargetMode="External" Id="rId3"/><Relationship Type="http://schemas.openxmlformats.org/officeDocument/2006/relationships/hyperlink" Target="#Sources!A1" TargetMode="External" Id="rId4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README!A1" TargetMode="External" Id="rId1"/><Relationship Type="http://schemas.openxmlformats.org/officeDocument/2006/relationships/hyperlink" Target="#'Company Inputs'!A1" TargetMode="External" Id="rId2"/><Relationship Type="http://schemas.openxmlformats.org/officeDocument/2006/relationships/hyperlink" Target="#Dashboard!A1" TargetMode="External" Id="rId3"/><Relationship Type="http://schemas.openxmlformats.org/officeDocument/2006/relationships/hyperlink" Target="#Sources!A1" TargetMode="External" Id="rId4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hyperlink" Target="#README!A1" TargetMode="External" Id="rId1"/><Relationship Type="http://schemas.openxmlformats.org/officeDocument/2006/relationships/hyperlink" Target="#'Company Inputs'!A1" TargetMode="External" Id="rId2"/><Relationship Type="http://schemas.openxmlformats.org/officeDocument/2006/relationships/hyperlink" Target="#Dashboard!A1" TargetMode="External" Id="rId3"/><Relationship Type="http://schemas.openxmlformats.org/officeDocument/2006/relationships/hyperlink" Target="#Sources!A1" TargetMode="External" Id="rId4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hyperlink" Target="#README!A1" TargetMode="External" Id="rId1"/><Relationship Type="http://schemas.openxmlformats.org/officeDocument/2006/relationships/hyperlink" Target="#'Company Inputs'!A1" TargetMode="External" Id="rId2"/><Relationship Type="http://schemas.openxmlformats.org/officeDocument/2006/relationships/hyperlink" Target="#Dashboard!A1" TargetMode="External" Id="rId3"/><Relationship Type="http://schemas.openxmlformats.org/officeDocument/2006/relationships/hyperlink" Target="#Sources!A1" TargetMode="External" Id="rId4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hyperlink" Target="#README!A1" TargetMode="External" Id="rId1"/><Relationship Type="http://schemas.openxmlformats.org/officeDocument/2006/relationships/hyperlink" Target="#'Company Inputs'!A1" TargetMode="External" Id="rId2"/><Relationship Type="http://schemas.openxmlformats.org/officeDocument/2006/relationships/hyperlink" Target="#Dashboard!A1" TargetMode="External" Id="rId3"/><Relationship Type="http://schemas.openxmlformats.org/officeDocument/2006/relationships/hyperlink" Target="#Sources!A1" TargetMode="External" Id="rId4"/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0" customHeight="1">
      <c r="A1" s="1" t="inlineStr">
        <is>
          <t>FIN 325 Capstone Analyst Workbook Template v2</t>
        </is>
      </c>
    </row>
    <row r="2" ht="23" customHeight="1">
      <c r="A2" s="2" t="inlineStr">
        <is>
          <t>Structured workbook for the final investment committee recommendation.</t>
        </is>
      </c>
    </row>
    <row r="3" ht="21" customHeight="1"/>
    <row r="4" ht="23" customHeight="1">
      <c r="A4" s="3" t="inlineStr">
        <is>
          <t>How to Use This Workbook</t>
        </is>
      </c>
    </row>
    <row r="5" ht="21" customHeight="1">
      <c r="A5" s="4" t="inlineStr">
        <is>
          <t>1. Select company</t>
        </is>
      </c>
      <c r="B5" s="5" t="inlineStr">
        <is>
          <t>Use the same company from the memo sequence unless your instructor approves a change.</t>
        </is>
      </c>
    </row>
    <row r="6" ht="21" customHeight="1">
      <c r="A6" s="4" t="inlineStr">
        <is>
          <t>2. Replace inputs</t>
        </is>
      </c>
      <c r="B6" s="5" t="inlineStr">
        <is>
          <t>Blue/yellow cells are student inputs. Replace sample data with company-specific data.</t>
        </is>
      </c>
    </row>
    <row r="7" ht="21" customHeight="1">
      <c r="A7" s="4" t="inlineStr">
        <is>
          <t>3. Cite sources</t>
        </is>
      </c>
      <c r="B7" s="5" t="inlineStr">
        <is>
          <t>Use the Sources tab for annual reports, market data, peer multiples, and assumptions.</t>
        </is>
      </c>
    </row>
    <row r="8" ht="21" customHeight="1">
      <c r="A8" s="4" t="inlineStr">
        <is>
          <t>4. Review formulas</t>
        </is>
      </c>
      <c r="B8" s="5" t="inlineStr">
        <is>
          <t>Black text cells are formulas; green cells link across tabs.</t>
        </is>
      </c>
    </row>
    <row r="9" ht="21" customHeight="1">
      <c r="A9" s="4" t="inlineStr">
        <is>
          <t>5. Summarize dashboard</t>
        </is>
      </c>
      <c r="B9" s="5" t="inlineStr">
        <is>
          <t>Use the Dashboard tab to form a final recommendation and decision logic.</t>
        </is>
      </c>
    </row>
    <row r="10" ht="21" customHeight="1"/>
    <row r="11" ht="21" customHeight="1"/>
    <row r="12" ht="23" customHeight="1">
      <c r="A12" s="3" t="inlineStr">
        <is>
          <t>Color Conventions</t>
        </is>
      </c>
    </row>
    <row r="13" ht="21" customHeight="1">
      <c r="A13" s="5" t="inlineStr">
        <is>
          <t>Blue text / yellow fill</t>
        </is>
      </c>
      <c r="B13" s="5" t="inlineStr">
        <is>
          <t>Student input</t>
        </is>
      </c>
    </row>
    <row r="14" ht="21" customHeight="1">
      <c r="A14" s="5" t="inlineStr">
        <is>
          <t>Black text</t>
        </is>
      </c>
      <c r="B14" s="5" t="inlineStr">
        <is>
          <t>Formula or calculation</t>
        </is>
      </c>
    </row>
    <row r="15" ht="21" customHeight="1">
      <c r="A15" s="5" t="inlineStr">
        <is>
          <t>Green text / teal fill</t>
        </is>
      </c>
      <c r="B15" s="5" t="inlineStr">
        <is>
          <t>Linked from another worksheet</t>
        </is>
      </c>
    </row>
    <row r="16" ht="21" customHeight="1">
      <c r="A16" s="5" t="inlineStr">
        <is>
          <t>Gold fill</t>
        </is>
      </c>
      <c r="B16" s="5" t="inlineStr">
        <is>
          <t>Interpretation or professional judgment</t>
        </is>
      </c>
    </row>
  </sheetData>
  <mergeCells count="4">
    <mergeCell ref="A1:J1"/>
    <mergeCell ref="A4:J4"/>
    <mergeCell ref="A12:J12"/>
    <mergeCell ref="A2:J2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0" customHeight="1">
      <c r="A1" s="1" t="inlineStr">
        <is>
          <t>Company Inputs</t>
        </is>
      </c>
    </row>
    <row r="2" ht="23" customHeight="1">
      <c r="A2" s="2" t="inlineStr">
        <is>
          <t>Company, market, and financial statement inputs. Units are $mm unless otherwise noted.</t>
        </is>
      </c>
    </row>
    <row r="3" ht="21" customHeight="1">
      <c r="G3" s="6" t="inlineStr">
        <is>
          <t>README</t>
        </is>
      </c>
      <c r="H3" s="6" t="inlineStr">
        <is>
          <t>Inputs</t>
        </is>
      </c>
      <c r="I3" s="6" t="inlineStr">
        <is>
          <t>Dashboard</t>
        </is>
      </c>
      <c r="J3" s="6" t="inlineStr">
        <is>
          <t>Sources</t>
        </is>
      </c>
    </row>
    <row r="4" ht="23" customHeight="1">
      <c r="A4" s="3" t="inlineStr">
        <is>
          <t>Company and Market Inputs</t>
        </is>
      </c>
    </row>
    <row r="5" ht="21" customHeight="1">
      <c r="A5" s="5" t="inlineStr">
        <is>
          <t>Company Name</t>
        </is>
      </c>
      <c r="B5" s="7" t="inlineStr">
        <is>
          <t>ExampleCo</t>
        </is>
      </c>
    </row>
    <row r="6" ht="21" customHeight="1">
      <c r="A6" s="5" t="inlineStr">
        <is>
          <t>Ticker</t>
        </is>
      </c>
      <c r="B6" s="7" t="inlineStr">
        <is>
          <t>EXMP</t>
        </is>
      </c>
    </row>
    <row r="7" ht="21" customHeight="1">
      <c r="A7" s="5" t="inlineStr">
        <is>
          <t>Exchange</t>
        </is>
      </c>
      <c r="B7" s="7" t="inlineStr">
        <is>
          <t>NYSE/NASDAQ</t>
        </is>
      </c>
    </row>
    <row r="8" ht="21" customHeight="1">
      <c r="A8" s="5" t="inlineStr">
        <is>
          <t>Fiscal Year End</t>
        </is>
      </c>
      <c r="B8" s="7" t="inlineStr">
        <is>
          <t>2025</t>
        </is>
      </c>
    </row>
    <row r="9" ht="21" customHeight="1">
      <c r="A9" s="5" t="inlineStr">
        <is>
          <t>Current Market Price ($/share)</t>
        </is>
      </c>
      <c r="B9" s="8" t="n">
        <v>90</v>
      </c>
    </row>
    <row r="10" ht="21" customHeight="1">
      <c r="A10" s="5" t="inlineStr">
        <is>
          <t>Shares Outstanding (mm)</t>
        </is>
      </c>
      <c r="B10" s="9" t="n">
        <v>100</v>
      </c>
    </row>
    <row r="11" ht="21" customHeight="1">
      <c r="A11" s="5" t="inlineStr">
        <is>
          <t>Market Value of Debt ($mm)</t>
        </is>
      </c>
      <c r="B11" s="10" t="n">
        <v>300</v>
      </c>
    </row>
    <row r="12" ht="21" customHeight="1">
      <c r="A12" s="5" t="inlineStr">
        <is>
          <t>Cash and Equivalents ($mm)</t>
        </is>
      </c>
      <c r="B12" s="10" t="n">
        <v>120</v>
      </c>
    </row>
    <row r="13" ht="21" customHeight="1">
      <c r="A13" s="5" t="inlineStr">
        <is>
          <t>Tax Rate</t>
        </is>
      </c>
      <c r="B13" s="11" t="n">
        <v>0.21</v>
      </c>
    </row>
    <row r="14" ht="21" customHeight="1">
      <c r="A14" s="5" t="inlineStr">
        <is>
          <t>Observation Date</t>
        </is>
      </c>
      <c r="B14" s="7" t="inlineStr">
        <is>
          <t>2026-08-16</t>
        </is>
      </c>
    </row>
    <row r="15" ht="21" customHeight="1"/>
    <row r="16" ht="21" customHeight="1"/>
    <row r="17" ht="23" customHeight="1">
      <c r="A17" s="3" t="inlineStr">
        <is>
          <t>Financial Statement Inputs ($mm)</t>
        </is>
      </c>
    </row>
    <row r="18" ht="21" customHeight="1">
      <c r="A18" s="12" t="inlineStr">
        <is>
          <t>Metric</t>
        </is>
      </c>
      <c r="B18" s="12" t="inlineStr">
        <is>
          <t>FY2023</t>
        </is>
      </c>
      <c r="C18" s="12" t="inlineStr">
        <is>
          <t>FY2024</t>
        </is>
      </c>
      <c r="D18" s="12" t="inlineStr">
        <is>
          <t>FY2025</t>
        </is>
      </c>
    </row>
    <row r="19" ht="21" customHeight="1">
      <c r="A19" s="5" t="inlineStr">
        <is>
          <t>Revenue</t>
        </is>
      </c>
      <c r="B19" s="10" t="n">
        <v>950</v>
      </c>
      <c r="C19" s="10" t="n">
        <v>1040</v>
      </c>
      <c r="D19" s="10" t="n">
        <v>1120</v>
      </c>
    </row>
    <row r="20" ht="21" customHeight="1">
      <c r="A20" s="5" t="inlineStr">
        <is>
          <t>COGS</t>
        </is>
      </c>
      <c r="B20" s="10" t="n">
        <v>520</v>
      </c>
      <c r="C20" s="10" t="n">
        <v>560</v>
      </c>
      <c r="D20" s="10" t="n">
        <v>600</v>
      </c>
    </row>
    <row r="21" ht="21" customHeight="1">
      <c r="A21" s="5" t="inlineStr">
        <is>
          <t>EBITDA</t>
        </is>
      </c>
      <c r="B21" s="10" t="n">
        <v>220</v>
      </c>
      <c r="C21" s="10" t="n">
        <v>255</v>
      </c>
      <c r="D21" s="10" t="n">
        <v>285</v>
      </c>
    </row>
    <row r="22" ht="21" customHeight="1">
      <c r="A22" s="5" t="inlineStr">
        <is>
          <t>EBIT</t>
        </is>
      </c>
      <c r="B22" s="10" t="n">
        <v>180</v>
      </c>
      <c r="C22" s="10" t="n">
        <v>210</v>
      </c>
      <c r="D22" s="10" t="n">
        <v>235</v>
      </c>
    </row>
    <row r="23" ht="21" customHeight="1">
      <c r="A23" s="5" t="inlineStr">
        <is>
          <t>Interest Expense</t>
        </is>
      </c>
      <c r="B23" s="10" t="n">
        <v>18</v>
      </c>
      <c r="C23" s="10" t="n">
        <v>20</v>
      </c>
      <c r="D23" s="10" t="n">
        <v>22</v>
      </c>
    </row>
    <row r="24" ht="21" customHeight="1">
      <c r="A24" s="5" t="inlineStr">
        <is>
          <t>Pretax Income</t>
        </is>
      </c>
      <c r="B24" s="10" t="n">
        <v>162</v>
      </c>
      <c r="C24" s="10" t="n">
        <v>190</v>
      </c>
      <c r="D24" s="10" t="n">
        <v>213</v>
      </c>
    </row>
    <row r="25" ht="21" customHeight="1">
      <c r="A25" s="5" t="inlineStr">
        <is>
          <t>Taxes</t>
        </is>
      </c>
      <c r="B25" s="10" t="n">
        <v>34</v>
      </c>
      <c r="C25" s="10" t="n">
        <v>40</v>
      </c>
      <c r="D25" s="10" t="n">
        <v>45</v>
      </c>
    </row>
    <row r="26" ht="21" customHeight="1">
      <c r="A26" s="5" t="inlineStr">
        <is>
          <t>Net Income</t>
        </is>
      </c>
      <c r="B26" s="10" t="n">
        <v>128</v>
      </c>
      <c r="C26" s="10" t="n">
        <v>150</v>
      </c>
      <c r="D26" s="10" t="n">
        <v>168</v>
      </c>
    </row>
    <row r="27" ht="21" customHeight="1">
      <c r="A27" s="5" t="inlineStr">
        <is>
          <t>Cash</t>
        </is>
      </c>
      <c r="B27" s="10" t="n">
        <v>80</v>
      </c>
      <c r="C27" s="10" t="n">
        <v>100</v>
      </c>
      <c r="D27" s="10" t="n">
        <v>120</v>
      </c>
    </row>
    <row r="28" ht="21" customHeight="1">
      <c r="A28" s="5" t="inlineStr">
        <is>
          <t>Accounts Receivable</t>
        </is>
      </c>
      <c r="B28" s="10" t="n">
        <v>110</v>
      </c>
      <c r="C28" s="10" t="n">
        <v>120</v>
      </c>
      <c r="D28" s="10" t="n">
        <v>130</v>
      </c>
    </row>
    <row r="29" ht="21" customHeight="1">
      <c r="A29" s="5" t="inlineStr">
        <is>
          <t>Inventory</t>
        </is>
      </c>
      <c r="B29" s="10" t="n">
        <v>90</v>
      </c>
      <c r="C29" s="10" t="n">
        <v>96</v>
      </c>
      <c r="D29" s="10" t="n">
        <v>102</v>
      </c>
    </row>
    <row r="30" ht="21" customHeight="1">
      <c r="A30" s="5" t="inlineStr">
        <is>
          <t>Current Assets</t>
        </is>
      </c>
      <c r="B30" s="10" t="n">
        <v>360</v>
      </c>
      <c r="C30" s="10" t="n">
        <v>395</v>
      </c>
      <c r="D30" s="10" t="n">
        <v>430</v>
      </c>
    </row>
    <row r="31" ht="21" customHeight="1">
      <c r="A31" s="5" t="inlineStr">
        <is>
          <t>Current Liabilities</t>
        </is>
      </c>
      <c r="B31" s="10" t="n">
        <v>210</v>
      </c>
      <c r="C31" s="10" t="n">
        <v>225</v>
      </c>
      <c r="D31" s="10" t="n">
        <v>240</v>
      </c>
    </row>
    <row r="32" ht="21" customHeight="1">
      <c r="A32" s="5" t="inlineStr">
        <is>
          <t>Total Assets</t>
        </is>
      </c>
      <c r="B32" s="10" t="n">
        <v>1600</v>
      </c>
      <c r="C32" s="10" t="n">
        <v>1725</v>
      </c>
      <c r="D32" s="10" t="n">
        <v>1850</v>
      </c>
    </row>
    <row r="33" ht="21" customHeight="1">
      <c r="A33" s="5" t="inlineStr">
        <is>
          <t>Total Debt</t>
        </is>
      </c>
      <c r="B33" s="10" t="n">
        <v>260</v>
      </c>
      <c r="C33" s="10" t="n">
        <v>280</v>
      </c>
      <c r="D33" s="10" t="n">
        <v>300</v>
      </c>
    </row>
    <row r="34" ht="21" customHeight="1">
      <c r="A34" s="5" t="inlineStr">
        <is>
          <t>Total Equity</t>
        </is>
      </c>
      <c r="B34" s="10" t="n">
        <v>780</v>
      </c>
      <c r="C34" s="10" t="n">
        <v>850</v>
      </c>
      <c r="D34" s="10" t="n">
        <v>930</v>
      </c>
    </row>
    <row r="35" ht="21" customHeight="1">
      <c r="A35" s="5" t="inlineStr">
        <is>
          <t>Operating Cash Flow</t>
        </is>
      </c>
      <c r="B35" s="10" t="n">
        <v>170</v>
      </c>
      <c r="C35" s="10" t="n">
        <v>195</v>
      </c>
      <c r="D35" s="10" t="n">
        <v>220</v>
      </c>
    </row>
    <row r="36" ht="21" customHeight="1">
      <c r="A36" s="5" t="inlineStr">
        <is>
          <t>Capital Expenditures</t>
        </is>
      </c>
      <c r="B36" s="10" t="n">
        <v>70</v>
      </c>
      <c r="C36" s="10" t="n">
        <v>80</v>
      </c>
      <c r="D36" s="10" t="n">
        <v>90</v>
      </c>
    </row>
    <row r="37" ht="21" customHeight="1">
      <c r="A37" s="5" t="inlineStr">
        <is>
          <t>Dividends Paid</t>
        </is>
      </c>
      <c r="B37" s="10" t="n">
        <v>35</v>
      </c>
      <c r="C37" s="10" t="n">
        <v>38</v>
      </c>
      <c r="D37" s="10" t="n">
        <v>42</v>
      </c>
    </row>
    <row r="38" ht="21" customHeight="1">
      <c r="A38" s="5" t="inlineStr">
        <is>
          <t>Share Repurchases</t>
        </is>
      </c>
      <c r="B38" s="10" t="n">
        <v>20</v>
      </c>
      <c r="C38" s="10" t="n">
        <v>25</v>
      </c>
      <c r="D38" s="10" t="n">
        <v>30</v>
      </c>
    </row>
  </sheetData>
  <mergeCells count="4">
    <mergeCell ref="A17:J17"/>
    <mergeCell ref="A1:J1"/>
    <mergeCell ref="A4:J4"/>
    <mergeCell ref="A2:J2"/>
  </mergeCells>
  <hyperlinks>
    <hyperlink xmlns:r="http://schemas.openxmlformats.org/officeDocument/2006/relationships" ref="G3" r:id="rId1"/>
    <hyperlink xmlns:r="http://schemas.openxmlformats.org/officeDocument/2006/relationships" ref="H3" r:id="rId2"/>
    <hyperlink xmlns:r="http://schemas.openxmlformats.org/officeDocument/2006/relationships" ref="I3" r:id="rId3"/>
    <hyperlink xmlns:r="http://schemas.openxmlformats.org/officeDocument/2006/relationships" ref="J3" r:id="rId4"/>
  </hyperlink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4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0" customHeight="1">
      <c r="A1" s="1" t="inlineStr">
        <is>
          <t>Financial Health Diagnosis</t>
        </is>
      </c>
    </row>
    <row r="2" ht="23" customHeight="1">
      <c r="A2" s="2" t="inlineStr">
        <is>
          <t>Liquidity, profitability, efficiency, leverage, and DuPont analysis.</t>
        </is>
      </c>
    </row>
    <row r="3" ht="21" customHeight="1">
      <c r="G3" s="6" t="inlineStr">
        <is>
          <t>README</t>
        </is>
      </c>
      <c r="H3" s="6" t="inlineStr">
        <is>
          <t>Inputs</t>
        </is>
      </c>
      <c r="I3" s="6" t="inlineStr">
        <is>
          <t>Dashboard</t>
        </is>
      </c>
      <c r="J3" s="6" t="inlineStr">
        <is>
          <t>Sources</t>
        </is>
      </c>
    </row>
    <row r="4" ht="23" customHeight="1">
      <c r="A4" s="3" t="inlineStr">
        <is>
          <t>Key Financial Ratios</t>
        </is>
      </c>
    </row>
    <row r="5" ht="21" customHeight="1">
      <c r="A5" s="12" t="inlineStr">
        <is>
          <t>Metric</t>
        </is>
      </c>
      <c r="B5" s="12" t="inlineStr">
        <is>
          <t>FY2023</t>
        </is>
      </c>
      <c r="C5" s="12" t="inlineStr">
        <is>
          <t>FY2024</t>
        </is>
      </c>
      <c r="D5" s="12" t="inlineStr">
        <is>
          <t>FY2025</t>
        </is>
      </c>
      <c r="E5" s="12" t="inlineStr">
        <is>
          <t>Interpretation</t>
        </is>
      </c>
    </row>
    <row r="6" ht="21" customHeight="1">
      <c r="A6" s="5" t="inlineStr">
        <is>
          <t>Revenue Growth</t>
        </is>
      </c>
      <c r="B6" s="13" t="inlineStr">
        <is>
          <t>n.m.</t>
        </is>
      </c>
      <c r="C6" s="14">
        <f>'Company Inputs'!C19/'Company Inputs'!B19-1</f>
        <v/>
      </c>
      <c r="D6" s="14">
        <f>'Company Inputs'!D19/'Company Inputs'!C19-1</f>
        <v/>
      </c>
      <c r="E6" s="5" t="inlineStr">
        <is>
          <t>Growth supports or challenges valuation assumptions.</t>
        </is>
      </c>
    </row>
    <row r="7" ht="21" customHeight="1">
      <c r="A7" s="5" t="inlineStr">
        <is>
          <t>Gross Margin</t>
        </is>
      </c>
      <c r="B7" s="14">
        <f>('Company Inputs'!B19-'Company Inputs'!B20)/'Company Inputs'!B19</f>
        <v/>
      </c>
      <c r="C7" s="14">
        <f>('Company Inputs'!C19-'Company Inputs'!C20)/'Company Inputs'!C19</f>
        <v/>
      </c>
      <c r="D7" s="14">
        <f>('Company Inputs'!D19-'Company Inputs'!D20)/'Company Inputs'!D19</f>
        <v/>
      </c>
      <c r="E7" s="5" t="inlineStr">
        <is>
          <t>Gross profitability before operating costs.</t>
        </is>
      </c>
    </row>
    <row r="8" ht="21" customHeight="1">
      <c r="A8" s="5" t="inlineStr">
        <is>
          <t>Operating Margin</t>
        </is>
      </c>
      <c r="B8" s="14">
        <f>'Company Inputs'!B22/'Company Inputs'!B19</f>
        <v/>
      </c>
      <c r="C8" s="14">
        <f>'Company Inputs'!C22/'Company Inputs'!C19</f>
        <v/>
      </c>
      <c r="D8" s="14">
        <f>'Company Inputs'!D22/'Company Inputs'!D19</f>
        <v/>
      </c>
      <c r="E8" s="5" t="inlineStr">
        <is>
          <t>Operating profit relative to sales.</t>
        </is>
      </c>
    </row>
    <row r="9" ht="21" customHeight="1">
      <c r="A9" s="5" t="inlineStr">
        <is>
          <t>Net Margin</t>
        </is>
      </c>
      <c r="B9" s="14">
        <f>'Company Inputs'!B26/'Company Inputs'!B19</f>
        <v/>
      </c>
      <c r="C9" s="14">
        <f>'Company Inputs'!C26/'Company Inputs'!C19</f>
        <v/>
      </c>
      <c r="D9" s="14">
        <f>'Company Inputs'!D26/'Company Inputs'!D19</f>
        <v/>
      </c>
      <c r="E9" s="5" t="inlineStr">
        <is>
          <t>After-tax profitability.</t>
        </is>
      </c>
    </row>
    <row r="10" ht="21" customHeight="1">
      <c r="A10" s="5" t="inlineStr">
        <is>
          <t>Current Ratio</t>
        </is>
      </c>
      <c r="B10" s="15">
        <f>'Company Inputs'!B30/'Company Inputs'!B31</f>
        <v/>
      </c>
      <c r="C10" s="15">
        <f>'Company Inputs'!C30/'Company Inputs'!C31</f>
        <v/>
      </c>
      <c r="D10" s="15">
        <f>'Company Inputs'!D30/'Company Inputs'!D31</f>
        <v/>
      </c>
      <c r="E10" s="5" t="inlineStr">
        <is>
          <t>Short-term liquidity.</t>
        </is>
      </c>
    </row>
    <row r="11" ht="21" customHeight="1">
      <c r="A11" s="5" t="inlineStr">
        <is>
          <t>Quick Ratio</t>
        </is>
      </c>
      <c r="B11" s="15">
        <f>('Company Inputs'!B30-'Company Inputs'!B29)/'Company Inputs'!B31</f>
        <v/>
      </c>
      <c r="C11" s="15">
        <f>('Company Inputs'!C30-'Company Inputs'!C29)/'Company Inputs'!C31</f>
        <v/>
      </c>
      <c r="D11" s="15">
        <f>('Company Inputs'!D30-'Company Inputs'!D29)/'Company Inputs'!D31</f>
        <v/>
      </c>
      <c r="E11" s="5" t="inlineStr">
        <is>
          <t>Liquidity excluding inventory.</t>
        </is>
      </c>
    </row>
    <row r="12" ht="21" customHeight="1">
      <c r="A12" s="5" t="inlineStr">
        <is>
          <t>Debt-to-Equity</t>
        </is>
      </c>
      <c r="B12" s="15">
        <f>'Company Inputs'!B33/'Company Inputs'!B34</f>
        <v/>
      </c>
      <c r="C12" s="15">
        <f>'Company Inputs'!C33/'Company Inputs'!C34</f>
        <v/>
      </c>
      <c r="D12" s="15">
        <f>'Company Inputs'!D33/'Company Inputs'!D34</f>
        <v/>
      </c>
      <c r="E12" s="5" t="inlineStr">
        <is>
          <t>Financial leverage.</t>
        </is>
      </c>
    </row>
    <row r="13" ht="21" customHeight="1">
      <c r="A13" s="5" t="inlineStr">
        <is>
          <t>ROA</t>
        </is>
      </c>
      <c r="B13" s="14">
        <f>'Company Inputs'!B26/'Company Inputs'!B32</f>
        <v/>
      </c>
      <c r="C13" s="14">
        <f>'Company Inputs'!C26/'Company Inputs'!C32</f>
        <v/>
      </c>
      <c r="D13" s="14">
        <f>'Company Inputs'!D26/'Company Inputs'!D32</f>
        <v/>
      </c>
      <c r="E13" s="5" t="inlineStr">
        <is>
          <t>Return on assets.</t>
        </is>
      </c>
    </row>
    <row r="14" ht="21" customHeight="1">
      <c r="A14" s="5" t="inlineStr">
        <is>
          <t>ROE</t>
        </is>
      </c>
      <c r="B14" s="14">
        <f>'Company Inputs'!B26/'Company Inputs'!B34</f>
        <v/>
      </c>
      <c r="C14" s="14">
        <f>'Company Inputs'!C26/'Company Inputs'!C34</f>
        <v/>
      </c>
      <c r="D14" s="14">
        <f>'Company Inputs'!D26/'Company Inputs'!D34</f>
        <v/>
      </c>
      <c r="E14" s="5" t="inlineStr">
        <is>
          <t>Return on equity.</t>
        </is>
      </c>
    </row>
    <row r="15" ht="21" customHeight="1">
      <c r="A15" s="5" t="inlineStr">
        <is>
          <t>Asset Turnover</t>
        </is>
      </c>
      <c r="B15" s="15">
        <f>'Company Inputs'!B19/'Company Inputs'!B32</f>
        <v/>
      </c>
      <c r="C15" s="15">
        <f>'Company Inputs'!C19/'Company Inputs'!C32</f>
        <v/>
      </c>
      <c r="D15" s="15">
        <f>'Company Inputs'!D19/'Company Inputs'!D32</f>
        <v/>
      </c>
      <c r="E15" s="5" t="inlineStr">
        <is>
          <t>Revenue generated per dollar of assets.</t>
        </is>
      </c>
    </row>
    <row r="16" ht="21" customHeight="1">
      <c r="A16" s="5" t="inlineStr">
        <is>
          <t>Equity Multiplier</t>
        </is>
      </c>
      <c r="B16" s="15">
        <f>'Company Inputs'!B32/'Company Inputs'!B34</f>
        <v/>
      </c>
      <c r="C16" s="15">
        <f>'Company Inputs'!C32/'Company Inputs'!C34</f>
        <v/>
      </c>
      <c r="D16" s="15">
        <f>'Company Inputs'!D32/'Company Inputs'!D34</f>
        <v/>
      </c>
      <c r="E16" s="5" t="inlineStr">
        <is>
          <t>Leverage component of DuPont.</t>
        </is>
      </c>
    </row>
    <row r="17" ht="21" customHeight="1">
      <c r="A17" s="5" t="inlineStr">
        <is>
          <t>DuPont ROE</t>
        </is>
      </c>
      <c r="B17" s="14">
        <f>B9*B14*B15</f>
        <v/>
      </c>
      <c r="C17" s="14">
        <f>C9*C14*C15</f>
        <v/>
      </c>
      <c r="D17" s="14">
        <f>D9*D14*D15</f>
        <v/>
      </c>
      <c r="E17" s="5" t="inlineStr">
        <is>
          <t>Net margin × asset turnover × equity multiplier.</t>
        </is>
      </c>
    </row>
    <row r="18" ht="21" customHeight="1"/>
    <row r="19" ht="21" customHeight="1"/>
    <row r="20" ht="23" customHeight="1">
      <c r="A20" s="3" t="inlineStr">
        <is>
          <t>Student Interpretation</t>
        </is>
      </c>
    </row>
    <row r="21" ht="21" customHeight="1">
      <c r="A21" s="16" t="inlineStr">
        <is>
          <t>Strengths to highlight</t>
        </is>
      </c>
      <c r="B21" s="17" t="inlineStr">
        <is>
          <t>[Student completes]</t>
        </is>
      </c>
    </row>
    <row r="22" ht="21" customHeight="1">
      <c r="A22" s="16" t="inlineStr">
        <is>
          <t>Concerns to monitor</t>
        </is>
      </c>
      <c r="B22" s="17" t="inlineStr">
        <is>
          <t>[Student completes]</t>
        </is>
      </c>
    </row>
    <row r="23" ht="21" customHeight="1">
      <c r="A23" s="16" t="inlineStr">
        <is>
          <t>Memo 1 decision</t>
        </is>
      </c>
      <c r="B23" s="17" t="inlineStr">
        <is>
          <t>[Student completes]</t>
        </is>
      </c>
    </row>
  </sheetData>
  <mergeCells count="7">
    <mergeCell ref="A1:J1"/>
    <mergeCell ref="B23:E23"/>
    <mergeCell ref="B21:E21"/>
    <mergeCell ref="A4:J4"/>
    <mergeCell ref="A20:J20"/>
    <mergeCell ref="A2:J2"/>
    <mergeCell ref="B22:E22"/>
  </mergeCells>
  <hyperlinks>
    <hyperlink xmlns:r="http://schemas.openxmlformats.org/officeDocument/2006/relationships" ref="G3" r:id="rId1"/>
    <hyperlink xmlns:r="http://schemas.openxmlformats.org/officeDocument/2006/relationships" ref="H3" r:id="rId2"/>
    <hyperlink xmlns:r="http://schemas.openxmlformats.org/officeDocument/2006/relationships" ref="I3" r:id="rId3"/>
    <hyperlink xmlns:r="http://schemas.openxmlformats.org/officeDocument/2006/relationships" ref="J3" r:id="rId4"/>
  </hyperlink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4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0" customHeight="1">
      <c r="A1" s="1" t="inlineStr">
        <is>
          <t>Valuation Analysis</t>
        </is>
      </c>
    </row>
    <row r="2" ht="23" customHeight="1">
      <c r="A2" s="2" t="inlineStr">
        <is>
          <t>DDM, P/E multiple, simple DCF, valuation range, and market-price comparison.</t>
        </is>
      </c>
    </row>
    <row r="3" ht="21" customHeight="1">
      <c r="G3" s="6" t="inlineStr">
        <is>
          <t>README</t>
        </is>
      </c>
      <c r="H3" s="6" t="inlineStr">
        <is>
          <t>Inputs</t>
        </is>
      </c>
      <c r="I3" s="6" t="inlineStr">
        <is>
          <t>Dashboard</t>
        </is>
      </c>
      <c r="J3" s="6" t="inlineStr">
        <is>
          <t>Sources</t>
        </is>
      </c>
    </row>
    <row r="4" ht="23" customHeight="1">
      <c r="A4" s="3" t="inlineStr">
        <is>
          <t>Valuation Inputs</t>
        </is>
      </c>
    </row>
    <row r="5" ht="21" customHeight="1">
      <c r="A5" s="5" t="inlineStr">
        <is>
          <t>Current Market Price ($/share)</t>
        </is>
      </c>
      <c r="B5" s="18">
        <f>'Company Inputs'!B9</f>
        <v/>
      </c>
    </row>
    <row r="6" ht="21" customHeight="1">
      <c r="A6" s="5" t="inlineStr">
        <is>
          <t>Current Dividend ($/share)</t>
        </is>
      </c>
      <c r="B6" s="8" t="n">
        <v>1.2</v>
      </c>
    </row>
    <row r="7" ht="21" customHeight="1">
      <c r="A7" s="5" t="inlineStr">
        <is>
          <t>Dividend Growth Rate</t>
        </is>
      </c>
      <c r="B7" s="11" t="n">
        <v>0.04</v>
      </c>
    </row>
    <row r="8" ht="21" customHeight="1">
      <c r="A8" s="5" t="inlineStr">
        <is>
          <t>Required Return</t>
        </is>
      </c>
      <c r="B8" s="19">
        <f>'Risk and Return'!B14</f>
        <v/>
      </c>
    </row>
    <row r="9" ht="21" customHeight="1">
      <c r="A9" s="5" t="inlineStr">
        <is>
          <t>EPS ($/share)</t>
        </is>
      </c>
      <c r="B9" s="8" t="n">
        <v>4.9</v>
      </c>
    </row>
    <row r="10" ht="21" customHeight="1">
      <c r="A10" s="5" t="inlineStr">
        <is>
          <t>Selected P/E Multiple</t>
        </is>
      </c>
      <c r="B10" s="20" t="n">
        <v>18</v>
      </c>
    </row>
    <row r="11" ht="21" customHeight="1">
      <c r="A11" s="5" t="inlineStr">
        <is>
          <t>FCF Year 0 ($mm)</t>
        </is>
      </c>
      <c r="B11" s="21">
        <f>'Company Inputs'!D35-'Company Inputs'!D36</f>
        <v/>
      </c>
    </row>
    <row r="12" ht="21" customHeight="1">
      <c r="A12" s="5" t="inlineStr">
        <is>
          <t>FCF Growth Rate</t>
        </is>
      </c>
      <c r="B12" s="11" t="n">
        <v>0.05</v>
      </c>
    </row>
    <row r="13" ht="21" customHeight="1">
      <c r="A13" s="5" t="inlineStr">
        <is>
          <t>Terminal Growth Rate</t>
        </is>
      </c>
      <c r="B13" s="11" t="n">
        <v>0.025</v>
      </c>
    </row>
    <row r="14" ht="21" customHeight="1">
      <c r="A14" s="5" t="inlineStr">
        <is>
          <t>Net Debt ($mm)</t>
        </is>
      </c>
      <c r="B14" s="21">
        <f>'Company Inputs'!B11-'Company Inputs'!B12</f>
        <v/>
      </c>
    </row>
    <row r="15" ht="21" customHeight="1">
      <c r="A15" s="5" t="inlineStr">
        <is>
          <t>Shares Outstanding (mm)</t>
        </is>
      </c>
      <c r="B15" s="22">
        <f>'Company Inputs'!B10</f>
        <v/>
      </c>
    </row>
    <row r="16" ht="21" customHeight="1"/>
    <row r="17" ht="21" customHeight="1"/>
    <row r="18" ht="23" customHeight="1">
      <c r="A18" s="3" t="inlineStr">
        <is>
          <t>Valuation Outputs</t>
        </is>
      </c>
    </row>
    <row r="19" ht="21" customHeight="1">
      <c r="A19" s="5" t="inlineStr">
        <is>
          <t>DDM Value / Share</t>
        </is>
      </c>
      <c r="B19" s="23">
        <f>B6*(1+B7)/(B8-B7)</f>
        <v/>
      </c>
    </row>
    <row r="20" ht="21" customHeight="1">
      <c r="A20" s="5" t="inlineStr">
        <is>
          <t>P/E Implied Value / Share</t>
        </is>
      </c>
      <c r="B20" s="23">
        <f>B9*B10</f>
        <v/>
      </c>
    </row>
    <row r="21" ht="21" customHeight="1">
      <c r="A21" s="5" t="inlineStr">
        <is>
          <t>DCF Implied Value / Share</t>
        </is>
      </c>
      <c r="B21" s="23">
        <f>B40</f>
        <v/>
      </c>
    </row>
    <row r="22" ht="21" customHeight="1">
      <c r="A22" s="5" t="inlineStr">
        <is>
          <t>Low Valuation</t>
        </is>
      </c>
      <c r="B22" s="23">
        <f>MIN(B19:B21)</f>
        <v/>
      </c>
    </row>
    <row r="23" ht="21" customHeight="1">
      <c r="A23" s="5" t="inlineStr">
        <is>
          <t>Base Valuation</t>
        </is>
      </c>
      <c r="B23" s="23">
        <f>AVERAGE(B19:B21)</f>
        <v/>
      </c>
    </row>
    <row r="24" ht="21" customHeight="1">
      <c r="A24" s="5" t="inlineStr">
        <is>
          <t>High Valuation</t>
        </is>
      </c>
      <c r="B24" s="23">
        <f>MAX(B19:B21)</f>
        <v/>
      </c>
    </row>
    <row r="25" ht="21" customHeight="1">
      <c r="A25" s="5" t="inlineStr">
        <is>
          <t>Upside / Downside to Market</t>
        </is>
      </c>
      <c r="B25" s="14">
        <f>B23/B5-1</f>
        <v/>
      </c>
    </row>
    <row r="26" ht="21" customHeight="1">
      <c r="A26" s="5" t="inlineStr">
        <is>
          <t>Valuation Signal</t>
        </is>
      </c>
      <c r="B26" s="24">
        <f>IF(B25&gt;0.1,"Potentially Undervalued",IF(B25&lt;-0.1,"Potentially Overvalued","Near Fair Value"))</f>
        <v/>
      </c>
    </row>
    <row r="27" ht="21" customHeight="1"/>
    <row r="28" ht="21" customHeight="1"/>
    <row r="29" ht="23" customHeight="1">
      <c r="A29" s="3" t="inlineStr">
        <is>
          <t>Simple DCF Forecast</t>
        </is>
      </c>
    </row>
    <row r="30" ht="21" customHeight="1">
      <c r="A30" s="12" t="inlineStr">
        <is>
          <t>Year</t>
        </is>
      </c>
      <c r="B30" s="12" t="inlineStr">
        <is>
          <t>FCF ($mm)</t>
        </is>
      </c>
      <c r="C30" s="12" t="inlineStr">
        <is>
          <t>PV Factor</t>
        </is>
      </c>
      <c r="D30" s="12" t="inlineStr">
        <is>
          <t>PV of FCF ($mm)</t>
        </is>
      </c>
    </row>
    <row r="31" ht="21" customHeight="1">
      <c r="A31" s="5" t="n">
        <v>1</v>
      </c>
      <c r="B31" s="25">
        <f>$B$11*(1+$B$12)^1</f>
        <v/>
      </c>
      <c r="C31" s="26">
        <f>1/(1+'WACC'!$B$17)^1</f>
        <v/>
      </c>
      <c r="D31" s="25">
        <f>B31*C31</f>
        <v/>
      </c>
    </row>
    <row r="32" ht="21" customHeight="1">
      <c r="A32" s="5" t="n">
        <v>2</v>
      </c>
      <c r="B32" s="25">
        <f>$B$11*(1+$B$12)^2</f>
        <v/>
      </c>
      <c r="C32" s="26">
        <f>1/(1+'WACC'!$B$17)^2</f>
        <v/>
      </c>
      <c r="D32" s="25">
        <f>B32*C32</f>
        <v/>
      </c>
    </row>
    <row r="33" ht="21" customHeight="1">
      <c r="A33" s="5" t="n">
        <v>3</v>
      </c>
      <c r="B33" s="25">
        <f>$B$11*(1+$B$12)^3</f>
        <v/>
      </c>
      <c r="C33" s="26">
        <f>1/(1+'WACC'!$B$17)^3</f>
        <v/>
      </c>
      <c r="D33" s="25">
        <f>B33*C33</f>
        <v/>
      </c>
    </row>
    <row r="34" ht="21" customHeight="1">
      <c r="A34" s="5" t="n">
        <v>4</v>
      </c>
      <c r="B34" s="25">
        <f>$B$11*(1+$B$12)^4</f>
        <v/>
      </c>
      <c r="C34" s="26">
        <f>1/(1+'WACC'!$B$17)^4</f>
        <v/>
      </c>
      <c r="D34" s="25">
        <f>B34*C34</f>
        <v/>
      </c>
    </row>
    <row r="35" ht="21" customHeight="1">
      <c r="A35" s="5" t="n">
        <v>5</v>
      </c>
      <c r="B35" s="25">
        <f>$B$11*(1+$B$12)^5</f>
        <v/>
      </c>
      <c r="C35" s="26">
        <f>1/(1+'WACC'!$B$17)^5</f>
        <v/>
      </c>
      <c r="D35" s="25">
        <f>B35*C35</f>
        <v/>
      </c>
    </row>
    <row r="36" ht="21" customHeight="1">
      <c r="A36" s="5" t="inlineStr">
        <is>
          <t>Terminal Value ($mm)</t>
        </is>
      </c>
      <c r="B36" s="25">
        <f>B35*(1+$B$13)/('WACC'!$B$17-$B$13)</f>
        <v/>
      </c>
      <c r="C36" s="5" t="n"/>
      <c r="D36" s="5" t="n"/>
    </row>
    <row r="37" ht="21" customHeight="1">
      <c r="A37" s="5" t="inlineStr">
        <is>
          <t>PV of Terminal Value ($mm)</t>
        </is>
      </c>
      <c r="B37" s="25">
        <f>B36*C35</f>
        <v/>
      </c>
      <c r="C37" s="5" t="n"/>
      <c r="D37" s="5" t="n"/>
    </row>
    <row r="38" ht="21" customHeight="1">
      <c r="A38" s="5" t="inlineStr">
        <is>
          <t>Enterprise Value ($mm)</t>
        </is>
      </c>
      <c r="B38" s="25">
        <f>SUM(D31:D35)+B37</f>
        <v/>
      </c>
      <c r="C38" s="5" t="n"/>
      <c r="D38" s="5" t="n"/>
    </row>
    <row r="39" ht="21" customHeight="1">
      <c r="A39" s="5" t="inlineStr">
        <is>
          <t>Equity Value ($mm)</t>
        </is>
      </c>
      <c r="B39" s="25">
        <f>B38-$B$14</f>
        <v/>
      </c>
      <c r="C39" s="5" t="n"/>
      <c r="D39" s="5" t="n"/>
    </row>
    <row r="40" ht="21" customHeight="1">
      <c r="A40" s="5" t="inlineStr">
        <is>
          <t>DCF Value / Share</t>
        </is>
      </c>
      <c r="B40" s="27">
        <f>B39/$B$15</f>
        <v/>
      </c>
      <c r="C40" s="5" t="n"/>
      <c r="D40" s="5" t="n"/>
    </row>
  </sheetData>
  <mergeCells count="5">
    <mergeCell ref="A1:J1"/>
    <mergeCell ref="A18:J18"/>
    <mergeCell ref="A29:J29"/>
    <mergeCell ref="A4:J4"/>
    <mergeCell ref="A2:J2"/>
  </mergeCells>
  <hyperlinks>
    <hyperlink xmlns:r="http://schemas.openxmlformats.org/officeDocument/2006/relationships" ref="G3" r:id="rId1"/>
    <hyperlink xmlns:r="http://schemas.openxmlformats.org/officeDocument/2006/relationships" ref="H3" r:id="rId2"/>
    <hyperlink xmlns:r="http://schemas.openxmlformats.org/officeDocument/2006/relationships" ref="I3" r:id="rId3"/>
    <hyperlink xmlns:r="http://schemas.openxmlformats.org/officeDocument/2006/relationships" ref="J3" r:id="rId4"/>
  </hyperlink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44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0" customHeight="1">
      <c r="A1" s="1" t="inlineStr">
        <is>
          <t>Risk and Return</t>
        </is>
      </c>
    </row>
    <row r="2" ht="23" customHeight="1">
      <c r="A2" s="2" t="inlineStr">
        <is>
          <t>Beta, CAPM required return, expected return, and risk signal.</t>
        </is>
      </c>
    </row>
    <row r="3" ht="21" customHeight="1">
      <c r="G3" s="6" t="inlineStr">
        <is>
          <t>README</t>
        </is>
      </c>
      <c r="H3" s="6" t="inlineStr">
        <is>
          <t>Inputs</t>
        </is>
      </c>
      <c r="I3" s="6" t="inlineStr">
        <is>
          <t>Dashboard</t>
        </is>
      </c>
      <c r="J3" s="6" t="inlineStr">
        <is>
          <t>Sources</t>
        </is>
      </c>
    </row>
    <row r="4" ht="23" customHeight="1">
      <c r="A4" s="3" t="inlineStr">
        <is>
          <t>Inputs</t>
        </is>
      </c>
    </row>
    <row r="5" ht="21" customHeight="1">
      <c r="A5" s="5" t="inlineStr">
        <is>
          <t>Risk-Free Rate</t>
        </is>
      </c>
      <c r="B5" s="11" t="n">
        <v>0.04</v>
      </c>
    </row>
    <row r="6" ht="21" customHeight="1">
      <c r="A6" s="5" t="inlineStr">
        <is>
          <t>Expected Market Return</t>
        </is>
      </c>
      <c r="B6" s="11" t="n">
        <v>0.1</v>
      </c>
    </row>
    <row r="7" ht="21" customHeight="1">
      <c r="A7" s="5" t="inlineStr">
        <is>
          <t>Company Beta</t>
        </is>
      </c>
      <c r="B7" s="20" t="n">
        <v>1.2</v>
      </c>
    </row>
    <row r="8" ht="21" customHeight="1">
      <c r="A8" s="5" t="inlineStr">
        <is>
          <t>Expected Stock Return</t>
        </is>
      </c>
      <c r="B8" s="11" t="n">
        <v>0.11</v>
      </c>
    </row>
    <row r="9" ht="21" customHeight="1">
      <c r="A9" s="5" t="inlineStr">
        <is>
          <t>Historical Standard Deviation</t>
        </is>
      </c>
      <c r="B9" s="11" t="n">
        <v>0.24</v>
      </c>
    </row>
    <row r="10" ht="21" customHeight="1">
      <c r="A10" s="5" t="inlineStr">
        <is>
          <t>Benchmark Return</t>
        </is>
      </c>
      <c r="B10" s="11" t="n">
        <v>0.1</v>
      </c>
    </row>
    <row r="11" ht="21" customHeight="1"/>
    <row r="12" ht="23" customHeight="1">
      <c r="A12" s="3" t="inlineStr">
        <is>
          <t>Outputs</t>
        </is>
      </c>
    </row>
    <row r="13" ht="21" customHeight="1">
      <c r="A13" s="5" t="inlineStr">
        <is>
          <t>Equity Risk Premium</t>
        </is>
      </c>
      <c r="B13" s="14">
        <f>B6-B5</f>
        <v/>
      </c>
    </row>
    <row r="14" ht="21" customHeight="1">
      <c r="A14" s="5" t="inlineStr">
        <is>
          <t>CAPM Required Return</t>
        </is>
      </c>
      <c r="B14" s="14">
        <f>B5+B7*(B6-B5)</f>
        <v/>
      </c>
    </row>
    <row r="15" ht="21" customHeight="1">
      <c r="A15" s="5" t="inlineStr">
        <is>
          <t>Expected Return Spread</t>
        </is>
      </c>
      <c r="B15" s="14">
        <f>B8-B14</f>
        <v/>
      </c>
    </row>
    <row r="16" ht="21" customHeight="1">
      <c r="A16" s="5" t="inlineStr">
        <is>
          <t>Risk Signal</t>
        </is>
      </c>
      <c r="B16" s="24">
        <f>IF(B15&gt;0.02,"Favorable",IF(B15&lt;-0.02,"Unfavorable","Mixed"))</f>
        <v/>
      </c>
    </row>
  </sheetData>
  <mergeCells count="4">
    <mergeCell ref="A1:J1"/>
    <mergeCell ref="A4:J4"/>
    <mergeCell ref="A12:J12"/>
    <mergeCell ref="A2:J2"/>
  </mergeCells>
  <hyperlinks>
    <hyperlink xmlns:r="http://schemas.openxmlformats.org/officeDocument/2006/relationships" ref="G3" r:id="rId1"/>
    <hyperlink xmlns:r="http://schemas.openxmlformats.org/officeDocument/2006/relationships" ref="H3" r:id="rId2"/>
    <hyperlink xmlns:r="http://schemas.openxmlformats.org/officeDocument/2006/relationships" ref="I3" r:id="rId3"/>
    <hyperlink xmlns:r="http://schemas.openxmlformats.org/officeDocument/2006/relationships" ref="J3" r:id="rId4"/>
  </hyperlink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44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0" customHeight="1">
      <c r="A1" s="1" t="inlineStr">
        <is>
          <t>Weighted Average Cost of Capital</t>
        </is>
      </c>
    </row>
    <row r="2" ht="23" customHeight="1">
      <c r="A2" s="2" t="inlineStr">
        <is>
          <t>Cost of equity, cost of debt, weights, and WACC.</t>
        </is>
      </c>
    </row>
    <row r="3" ht="21" customHeight="1">
      <c r="G3" s="6" t="inlineStr">
        <is>
          <t>README</t>
        </is>
      </c>
      <c r="H3" s="6" t="inlineStr">
        <is>
          <t>Inputs</t>
        </is>
      </c>
      <c r="I3" s="6" t="inlineStr">
        <is>
          <t>Dashboard</t>
        </is>
      </c>
      <c r="J3" s="6" t="inlineStr">
        <is>
          <t>Sources</t>
        </is>
      </c>
    </row>
    <row r="4" ht="23" customHeight="1">
      <c r="A4" s="3" t="inlineStr">
        <is>
          <t>Inputs and Linked Values</t>
        </is>
      </c>
    </row>
    <row r="5" ht="21" customHeight="1">
      <c r="A5" s="5" t="inlineStr">
        <is>
          <t>Market Value of Equity ($mm)</t>
        </is>
      </c>
      <c r="B5" s="21">
        <f>'Company Inputs'!B9*'Company Inputs'!B10</f>
        <v/>
      </c>
    </row>
    <row r="6" ht="21" customHeight="1">
      <c r="A6" s="5" t="inlineStr">
        <is>
          <t>Market Value of Debt ($mm)</t>
        </is>
      </c>
      <c r="B6" s="21">
        <f>'Company Inputs'!B11</f>
        <v/>
      </c>
    </row>
    <row r="7" ht="21" customHeight="1">
      <c r="A7" s="5" t="inlineStr">
        <is>
          <t>Total Capital ($mm)</t>
        </is>
      </c>
      <c r="B7" s="28">
        <f>B5+B6</f>
        <v/>
      </c>
    </row>
    <row r="8" ht="21" customHeight="1">
      <c r="A8" s="5" t="inlineStr">
        <is>
          <t>Cost of Equity</t>
        </is>
      </c>
      <c r="B8" s="19">
        <f>'Risk and Return'!B14</f>
        <v/>
      </c>
    </row>
    <row r="9" ht="21" customHeight="1">
      <c r="A9" s="5" t="inlineStr">
        <is>
          <t>Pre-Tax Cost of Debt</t>
        </is>
      </c>
      <c r="B9" s="11" t="n">
        <v>0.06</v>
      </c>
    </row>
    <row r="10" ht="21" customHeight="1">
      <c r="A10" s="5" t="inlineStr">
        <is>
          <t>Tax Rate</t>
        </is>
      </c>
      <c r="B10" s="19">
        <f>'Company Inputs'!B13</f>
        <v/>
      </c>
    </row>
    <row r="11" ht="21" customHeight="1"/>
    <row r="12" ht="21" customHeight="1"/>
    <row r="13" ht="23" customHeight="1">
      <c r="A13" s="3" t="inlineStr">
        <is>
          <t>Outputs</t>
        </is>
      </c>
    </row>
    <row r="14" ht="21" customHeight="1">
      <c r="A14" s="5" t="inlineStr">
        <is>
          <t>Equity Weight</t>
        </is>
      </c>
      <c r="B14" s="14">
        <f>B5/B7</f>
        <v/>
      </c>
    </row>
    <row r="15" ht="21" customHeight="1">
      <c r="A15" s="5" t="inlineStr">
        <is>
          <t>Debt Weight</t>
        </is>
      </c>
      <c r="B15" s="14">
        <f>B6/B7</f>
        <v/>
      </c>
    </row>
    <row r="16" ht="21" customHeight="1">
      <c r="A16" s="5" t="inlineStr">
        <is>
          <t>After-Tax Cost of Debt</t>
        </is>
      </c>
      <c r="B16" s="14">
        <f>B9*(1-B10)</f>
        <v/>
      </c>
    </row>
    <row r="17" ht="21" customHeight="1">
      <c r="A17" s="5" t="inlineStr">
        <is>
          <t>WACC</t>
        </is>
      </c>
      <c r="B17" s="14">
        <f>B14*B8+B15*B16</f>
        <v/>
      </c>
    </row>
  </sheetData>
  <mergeCells count="4">
    <mergeCell ref="A1:J1"/>
    <mergeCell ref="A4:J4"/>
    <mergeCell ref="A13:J13"/>
    <mergeCell ref="A2:J2"/>
  </mergeCells>
  <hyperlinks>
    <hyperlink xmlns:r="http://schemas.openxmlformats.org/officeDocument/2006/relationships" ref="G3" r:id="rId1"/>
    <hyperlink xmlns:r="http://schemas.openxmlformats.org/officeDocument/2006/relationships" ref="H3" r:id="rId2"/>
    <hyperlink xmlns:r="http://schemas.openxmlformats.org/officeDocument/2006/relationships" ref="I3" r:id="rId3"/>
    <hyperlink xmlns:r="http://schemas.openxmlformats.org/officeDocument/2006/relationships" ref="J3" r:id="rId4"/>
  </hyperlink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0" customHeight="1">
      <c r="A1" s="1" t="inlineStr">
        <is>
          <t>Capital Allocation and Project Discipline</t>
        </is>
      </c>
    </row>
    <row r="2" ht="23" customHeight="1">
      <c r="A2" s="2" t="inlineStr">
        <is>
          <t>NPV, IRR, payback, and scenario analysis.</t>
        </is>
      </c>
    </row>
    <row r="3" ht="21" customHeight="1">
      <c r="G3" s="6" t="inlineStr">
        <is>
          <t>README</t>
        </is>
      </c>
      <c r="H3" s="6" t="inlineStr">
        <is>
          <t>Inputs</t>
        </is>
      </c>
      <c r="I3" s="6" t="inlineStr">
        <is>
          <t>Dashboard</t>
        </is>
      </c>
      <c r="J3" s="6" t="inlineStr">
        <is>
          <t>Sources</t>
        </is>
      </c>
    </row>
    <row r="4" ht="23" customHeight="1">
      <c r="A4" s="3" t="inlineStr">
        <is>
          <t>Project Inputs</t>
        </is>
      </c>
    </row>
    <row r="5" ht="21" customHeight="1">
      <c r="A5" s="5" t="inlineStr">
        <is>
          <t>Initial Investment ($mm)</t>
        </is>
      </c>
      <c r="B5" s="10" t="n">
        <v>-100</v>
      </c>
    </row>
    <row r="6" ht="21" customHeight="1">
      <c r="A6" s="5" t="inlineStr">
        <is>
          <t>Annual Cash Flow - Base ($mm)</t>
        </is>
      </c>
      <c r="B6" s="10" t="n">
        <v>28</v>
      </c>
    </row>
    <row r="7" ht="21" customHeight="1">
      <c r="A7" s="5" t="inlineStr">
        <is>
          <t>Project Life (Years)</t>
        </is>
      </c>
      <c r="B7" s="29" t="n">
        <v>5</v>
      </c>
    </row>
    <row r="8" ht="21" customHeight="1">
      <c r="A8" s="5" t="inlineStr">
        <is>
          <t>Discount Rate / WACC</t>
        </is>
      </c>
      <c r="B8" s="19">
        <f>'WACC'!B17</f>
        <v/>
      </c>
    </row>
    <row r="9" ht="21" customHeight="1">
      <c r="A9" s="5" t="inlineStr">
        <is>
          <t>Downside Annual CF ($mm)</t>
        </is>
      </c>
      <c r="B9" s="10" t="n">
        <v>22</v>
      </c>
    </row>
    <row r="10" ht="21" customHeight="1">
      <c r="A10" s="5" t="inlineStr">
        <is>
          <t>Upside Annual CF ($mm)</t>
        </is>
      </c>
      <c r="B10" s="10" t="n">
        <v>34</v>
      </c>
    </row>
    <row r="11" ht="21" customHeight="1"/>
    <row r="12" ht="21" customHeight="1"/>
    <row r="13" ht="23" customHeight="1">
      <c r="A13" s="3" t="inlineStr">
        <is>
          <t>Base Case Cash Flows</t>
        </is>
      </c>
    </row>
    <row r="14" ht="21" customHeight="1">
      <c r="A14" s="12" t="inlineStr">
        <is>
          <t>Year</t>
        </is>
      </c>
      <c r="B14" s="12" t="inlineStr">
        <is>
          <t>Cash Flow ($mm)</t>
        </is>
      </c>
      <c r="C14" s="12" t="inlineStr">
        <is>
          <t>Cumulative CF ($mm)</t>
        </is>
      </c>
    </row>
    <row r="15" ht="21" customHeight="1">
      <c r="A15" s="5" t="n">
        <v>0</v>
      </c>
      <c r="B15" s="25">
        <f>$B$5</f>
        <v/>
      </c>
      <c r="C15" s="25">
        <f>SUM($B$15:B15)</f>
        <v/>
      </c>
    </row>
    <row r="16" ht="21" customHeight="1">
      <c r="A16" s="5" t="n">
        <v>1</v>
      </c>
      <c r="B16" s="25">
        <f>$B$6</f>
        <v/>
      </c>
      <c r="C16" s="25">
        <f>SUM($B$15:B16)</f>
        <v/>
      </c>
    </row>
    <row r="17" ht="21" customHeight="1">
      <c r="A17" s="5" t="n">
        <v>2</v>
      </c>
      <c r="B17" s="25">
        <f>$B$6</f>
        <v/>
      </c>
      <c r="C17" s="25">
        <f>SUM($B$15:B17)</f>
        <v/>
      </c>
    </row>
    <row r="18" ht="21" customHeight="1">
      <c r="A18" s="5" t="n">
        <v>3</v>
      </c>
      <c r="B18" s="25">
        <f>$B$6</f>
        <v/>
      </c>
      <c r="C18" s="25">
        <f>SUM($B$15:B18)</f>
        <v/>
      </c>
    </row>
    <row r="19" ht="21" customHeight="1">
      <c r="A19" s="5" t="n">
        <v>4</v>
      </c>
      <c r="B19" s="25">
        <f>$B$6</f>
        <v/>
      </c>
      <c r="C19" s="25">
        <f>SUM($B$15:B19)</f>
        <v/>
      </c>
    </row>
    <row r="20" ht="21" customHeight="1">
      <c r="A20" s="5" t="n">
        <v>5</v>
      </c>
      <c r="B20" s="25">
        <f>$B$6</f>
        <v/>
      </c>
      <c r="C20" s="25">
        <f>SUM($B$15:B20)</f>
        <v/>
      </c>
    </row>
    <row r="21" ht="21" customHeight="1"/>
    <row r="22" ht="21" customHeight="1"/>
    <row r="23" ht="23" customHeight="1">
      <c r="A23" s="3" t="inlineStr">
        <is>
          <t>Outputs</t>
        </is>
      </c>
    </row>
    <row r="24" ht="21" customHeight="1">
      <c r="A24" s="5" t="inlineStr">
        <is>
          <t>NPV ($mm)</t>
        </is>
      </c>
      <c r="B24" s="28">
        <f>NPV(B8,B16:B20)+B15</f>
        <v/>
      </c>
    </row>
    <row r="25" ht="21" customHeight="1">
      <c r="A25" s="5" t="inlineStr">
        <is>
          <t>IRR</t>
        </is>
      </c>
      <c r="B25" s="14">
        <f>IRR(B15:B20)</f>
        <v/>
      </c>
    </row>
    <row r="26" ht="21" customHeight="1">
      <c r="A26" s="5" t="inlineStr">
        <is>
          <t>Simple Payback (Years)</t>
        </is>
      </c>
      <c r="B26" s="30">
        <f>ABS(B5)/B6</f>
        <v/>
      </c>
    </row>
    <row r="27" ht="21" customHeight="1">
      <c r="A27" s="5" t="inlineStr">
        <is>
          <t>Decision Signal</t>
        </is>
      </c>
      <c r="B27" s="24">
        <f>IF(B24&gt;0,"Positive NPV","Negative NPV")</f>
        <v/>
      </c>
    </row>
    <row r="28" ht="21" customHeight="1"/>
    <row r="29" ht="21" customHeight="1"/>
    <row r="30" ht="21" customHeight="1"/>
    <row r="31" ht="23" customHeight="1">
      <c r="A31" s="3" t="inlineStr">
        <is>
          <t>Scenario Analysis</t>
        </is>
      </c>
    </row>
    <row r="32" ht="21" customHeight="1">
      <c r="A32" s="12" t="inlineStr">
        <is>
          <t>Scenario</t>
        </is>
      </c>
      <c r="B32" s="12" t="inlineStr">
        <is>
          <t>Annual CF ($mm)</t>
        </is>
      </c>
      <c r="C32" s="12" t="inlineStr">
        <is>
          <t>NPV ($mm)</t>
        </is>
      </c>
      <c r="D32" s="12" t="inlineStr">
        <is>
          <t>Signal</t>
        </is>
      </c>
    </row>
    <row r="33" ht="21" customHeight="1">
      <c r="A33" s="5" t="inlineStr">
        <is>
          <t>Downside</t>
        </is>
      </c>
      <c r="B33" s="25">
        <f>B9</f>
        <v/>
      </c>
      <c r="C33" s="25">
        <f>B33*(1-(1+$B$8)^(-$B$7))/$B$8+$B$5</f>
        <v/>
      </c>
      <c r="D33" s="5">
        <f>IF(C33&gt;0,"Positive NPV","Negative NPV")</f>
        <v/>
      </c>
    </row>
    <row r="34" ht="21" customHeight="1">
      <c r="A34" s="5" t="inlineStr">
        <is>
          <t>Base</t>
        </is>
      </c>
      <c r="B34" s="25">
        <f>B6</f>
        <v/>
      </c>
      <c r="C34" s="25">
        <f>B34*(1-(1+$B$8)^(-$B$7))/$B$8+$B$5</f>
        <v/>
      </c>
      <c r="D34" s="5">
        <f>IF(C34&gt;0,"Positive NPV","Negative NPV")</f>
        <v/>
      </c>
    </row>
    <row r="35" ht="21" customHeight="1">
      <c r="A35" s="5" t="inlineStr">
        <is>
          <t>Upside</t>
        </is>
      </c>
      <c r="B35" s="25">
        <f>B10</f>
        <v/>
      </c>
      <c r="C35" s="25">
        <f>B35*(1-(1+$B$8)^(-$B$7))/$B$8+$B$5</f>
        <v/>
      </c>
      <c r="D35" s="5">
        <f>IF(C35&gt;0,"Positive NPV","Negative NPV")</f>
        <v/>
      </c>
    </row>
  </sheetData>
  <mergeCells count="6">
    <mergeCell ref="A1:J1"/>
    <mergeCell ref="A23:J23"/>
    <mergeCell ref="A31:J31"/>
    <mergeCell ref="A4:J4"/>
    <mergeCell ref="A2:J2"/>
    <mergeCell ref="A13:J13"/>
  </mergeCells>
  <hyperlinks>
    <hyperlink xmlns:r="http://schemas.openxmlformats.org/officeDocument/2006/relationships" ref="G3" r:id="rId1"/>
    <hyperlink xmlns:r="http://schemas.openxmlformats.org/officeDocument/2006/relationships" ref="H3" r:id="rId2"/>
    <hyperlink xmlns:r="http://schemas.openxmlformats.org/officeDocument/2006/relationships" ref="I3" r:id="rId3"/>
    <hyperlink xmlns:r="http://schemas.openxmlformats.org/officeDocument/2006/relationships" ref="J3" r:id="rId4"/>
  </hyperlink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4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0" customHeight="1">
      <c r="A1" s="1" t="inlineStr">
        <is>
          <t>Strategic Finance and Stress Testing</t>
        </is>
      </c>
    </row>
    <row r="2" ht="23" customHeight="1">
      <c r="A2" s="2" t="inlineStr">
        <is>
          <t>Operating leverage, coverage, working capital, payout, and flexibility.</t>
        </is>
      </c>
    </row>
    <row r="3" ht="21" customHeight="1">
      <c r="G3" s="6" t="inlineStr">
        <is>
          <t>README</t>
        </is>
      </c>
      <c r="H3" s="6" t="inlineStr">
        <is>
          <t>Inputs</t>
        </is>
      </c>
      <c r="I3" s="6" t="inlineStr">
        <is>
          <t>Dashboard</t>
        </is>
      </c>
      <c r="J3" s="6" t="inlineStr">
        <is>
          <t>Sources</t>
        </is>
      </c>
    </row>
    <row r="4" ht="23" customHeight="1">
      <c r="A4" s="3" t="inlineStr">
        <is>
          <t>Inputs</t>
        </is>
      </c>
    </row>
    <row r="5" ht="21" customHeight="1">
      <c r="A5" s="5" t="inlineStr">
        <is>
          <t>Price per Unit ($)</t>
        </is>
      </c>
      <c r="B5" s="8" t="n">
        <v>100</v>
      </c>
    </row>
    <row r="6" ht="21" customHeight="1">
      <c r="A6" s="5" t="inlineStr">
        <is>
          <t>Variable Cost per Unit ($)</t>
        </is>
      </c>
      <c r="B6" s="8" t="n">
        <v>60</v>
      </c>
    </row>
    <row r="7" ht="21" customHeight="1">
      <c r="A7" s="5" t="inlineStr">
        <is>
          <t>Fixed Costs ($mm)</t>
        </is>
      </c>
      <c r="B7" s="10" t="n">
        <v>100</v>
      </c>
    </row>
    <row r="8" ht="21" customHeight="1">
      <c r="A8" s="5" t="inlineStr">
        <is>
          <t>Units Sold (mm)</t>
        </is>
      </c>
      <c r="B8" s="9" t="n">
        <v>4</v>
      </c>
    </row>
    <row r="9" ht="21" customHeight="1">
      <c r="A9" s="5" t="inlineStr">
        <is>
          <t>Debt ($mm)</t>
        </is>
      </c>
      <c r="B9" s="21">
        <f>'Company Inputs'!B11</f>
        <v/>
      </c>
    </row>
    <row r="10" ht="21" customHeight="1">
      <c r="A10" s="5" t="inlineStr">
        <is>
          <t>Interest Rate</t>
        </is>
      </c>
      <c r="B10" s="11" t="n">
        <v>0.07000000000000001</v>
      </c>
    </row>
    <row r="11" ht="21" customHeight="1">
      <c r="A11" s="5" t="inlineStr">
        <is>
          <t>Annual Sales ($mm)</t>
        </is>
      </c>
      <c r="B11" s="21">
        <f>'Company Inputs'!D19</f>
        <v/>
      </c>
    </row>
    <row r="12" ht="21" customHeight="1">
      <c r="A12" s="5" t="inlineStr">
        <is>
          <t>Inventory Days</t>
        </is>
      </c>
      <c r="B12" s="9" t="n">
        <v>45</v>
      </c>
    </row>
    <row r="13" ht="21" customHeight="1">
      <c r="A13" s="5" t="inlineStr">
        <is>
          <t>Receivable Days</t>
        </is>
      </c>
      <c r="B13" s="9" t="n">
        <v>35</v>
      </c>
    </row>
    <row r="14" ht="21" customHeight="1">
      <c r="A14" s="5" t="inlineStr">
        <is>
          <t>Payable Days</t>
        </is>
      </c>
      <c r="B14" s="9" t="n">
        <v>30</v>
      </c>
    </row>
    <row r="15" ht="21" customHeight="1">
      <c r="A15" s="5" t="inlineStr">
        <is>
          <t>Dividend Payout Ratio</t>
        </is>
      </c>
      <c r="B15" s="19">
        <f>'Company Inputs'!D37/'Company Inputs'!D26</f>
        <v/>
      </c>
    </row>
    <row r="16" ht="21" customHeight="1"/>
    <row r="17" ht="21" customHeight="1"/>
    <row r="18" ht="23" customHeight="1">
      <c r="A18" s="3" t="inlineStr">
        <is>
          <t>Outputs</t>
        </is>
      </c>
    </row>
    <row r="19" ht="21" customHeight="1">
      <c r="A19" s="5" t="inlineStr">
        <is>
          <t>Contribution Margin / Unit</t>
        </is>
      </c>
      <c r="B19" s="23">
        <f>B5-B6</f>
        <v/>
      </c>
    </row>
    <row r="20" ht="21" customHeight="1">
      <c r="A20" s="5" t="inlineStr">
        <is>
          <t>EBIT ($mm)</t>
        </is>
      </c>
      <c r="B20" s="28">
        <f>B19*B8-B7</f>
        <v/>
      </c>
    </row>
    <row r="21" ht="21" customHeight="1">
      <c r="A21" s="5" t="inlineStr">
        <is>
          <t>Break-Even Units (mm)</t>
        </is>
      </c>
      <c r="B21" s="30">
        <f>B7/B19</f>
        <v/>
      </c>
    </row>
    <row r="22" ht="21" customHeight="1">
      <c r="A22" s="5" t="inlineStr">
        <is>
          <t>Degree of Operating Leverage</t>
        </is>
      </c>
      <c r="B22" s="15">
        <f>IFERROR((B19*B8)/B20,"")</f>
        <v/>
      </c>
    </row>
    <row r="23" ht="21" customHeight="1">
      <c r="A23" s="5" t="inlineStr">
        <is>
          <t>Annual Interest ($mm)</t>
        </is>
      </c>
      <c r="B23" s="28">
        <f>B9*B10</f>
        <v/>
      </c>
    </row>
    <row r="24" ht="21" customHeight="1">
      <c r="A24" s="5" t="inlineStr">
        <is>
          <t>Interest Coverage</t>
        </is>
      </c>
      <c r="B24" s="15">
        <f>IFERROR(B20/B23,"")</f>
        <v/>
      </c>
    </row>
    <row r="25" ht="21" customHeight="1">
      <c r="A25" s="5" t="inlineStr">
        <is>
          <t>Cash Conversion Cycle (Days)</t>
        </is>
      </c>
      <c r="B25" s="30">
        <f>B12+B13-B14</f>
        <v/>
      </c>
    </row>
    <row r="26" ht="21" customHeight="1">
      <c r="A26" s="5" t="inlineStr">
        <is>
          <t>Approx. Cash Tied in CCC ($mm)</t>
        </is>
      </c>
      <c r="B26" s="28">
        <f>B11/365*B25</f>
        <v/>
      </c>
    </row>
    <row r="27" ht="21" customHeight="1">
      <c r="A27" s="5" t="inlineStr">
        <is>
          <t>Flexibility Signal</t>
        </is>
      </c>
      <c r="B27" s="24">
        <f>IF(B24&lt;2,"Coverage Concern",IF(B25&gt;90,"Working Capital Concern","Monitor / Acceptable"))</f>
        <v/>
      </c>
    </row>
    <row r="28" ht="21" customHeight="1"/>
    <row r="29" ht="21" customHeight="1"/>
    <row r="30" ht="21" customHeight="1"/>
    <row r="31" ht="23" customHeight="1">
      <c r="A31" s="3" t="inlineStr">
        <is>
          <t>Student Interpretation</t>
        </is>
      </c>
    </row>
    <row r="32" ht="21" customHeight="1">
      <c r="A32" s="16" t="inlineStr">
        <is>
          <t>Financial flexibility assessment</t>
        </is>
      </c>
      <c r="B32" s="17" t="inlineStr">
        <is>
          <t>[Student completes]</t>
        </is>
      </c>
    </row>
    <row r="33" ht="21" customHeight="1">
      <c r="A33" s="16" t="inlineStr">
        <is>
          <t>Stewardship / integrity consideration</t>
        </is>
      </c>
      <c r="B33" s="17" t="inlineStr">
        <is>
          <t>[Student completes]</t>
        </is>
      </c>
    </row>
    <row r="34" ht="21" customHeight="1">
      <c r="A34" s="16" t="inlineStr">
        <is>
          <t>Memo 4 decision</t>
        </is>
      </c>
      <c r="B34" s="17" t="inlineStr">
        <is>
          <t>[Student completes]</t>
        </is>
      </c>
    </row>
  </sheetData>
  <mergeCells count="8">
    <mergeCell ref="A1:J1"/>
    <mergeCell ref="A31:J31"/>
    <mergeCell ref="A18:J18"/>
    <mergeCell ref="B34:E34"/>
    <mergeCell ref="B33:E33"/>
    <mergeCell ref="A4:J4"/>
    <mergeCell ref="A2:J2"/>
    <mergeCell ref="B32:E32"/>
  </mergeCells>
  <hyperlinks>
    <hyperlink xmlns:r="http://schemas.openxmlformats.org/officeDocument/2006/relationships" ref="G3" r:id="rId1"/>
    <hyperlink xmlns:r="http://schemas.openxmlformats.org/officeDocument/2006/relationships" ref="H3" r:id="rId2"/>
    <hyperlink xmlns:r="http://schemas.openxmlformats.org/officeDocument/2006/relationships" ref="I3" r:id="rId3"/>
    <hyperlink xmlns:r="http://schemas.openxmlformats.org/officeDocument/2006/relationships" ref="J3" r:id="rId4"/>
  </hyperlink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2" customWidth="1" min="3" max="3"/>
    <col width="3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0" customHeight="1">
      <c r="A1" s="1" t="inlineStr">
        <is>
          <t>Investment Committee Dashboard</t>
        </is>
      </c>
    </row>
    <row r="2" ht="23" customHeight="1">
      <c r="A2" s="2" t="inlineStr">
        <is>
          <t>Complete this page last. It summarizes the final capstone recommendation.</t>
        </is>
      </c>
    </row>
    <row r="3" ht="21" customHeight="1">
      <c r="G3" s="6" t="inlineStr">
        <is>
          <t>README</t>
        </is>
      </c>
      <c r="H3" s="6" t="inlineStr">
        <is>
          <t>Inputs</t>
        </is>
      </c>
      <c r="I3" s="6" t="inlineStr">
        <is>
          <t>Dashboard</t>
        </is>
      </c>
      <c r="J3" s="6" t="inlineStr">
        <is>
          <t>Sources</t>
        </is>
      </c>
    </row>
    <row r="4" ht="23" customHeight="1">
      <c r="A4" s="3" t="inlineStr">
        <is>
          <t>Executive Recommendation</t>
        </is>
      </c>
    </row>
    <row r="5" ht="21" customHeight="1">
      <c r="A5" s="5" t="inlineStr">
        <is>
          <t>Company</t>
        </is>
      </c>
      <c r="B5" s="31">
        <f>'Company Inputs'!B5</f>
        <v/>
      </c>
      <c r="C5" s="5" t="n"/>
      <c r="D5" s="5" t="n"/>
      <c r="E5" s="5" t="n"/>
    </row>
    <row r="6" ht="21" customHeight="1">
      <c r="A6" s="5" t="inlineStr">
        <is>
          <t>Ticker</t>
        </is>
      </c>
      <c r="B6" s="31">
        <f>'Company Inputs'!B6</f>
        <v/>
      </c>
      <c r="C6" s="5" t="n"/>
      <c r="D6" s="5" t="n"/>
      <c r="E6" s="5" t="n"/>
    </row>
    <row r="7" ht="21" customHeight="1">
      <c r="A7" s="5" t="inlineStr">
        <is>
          <t>Current Price</t>
        </is>
      </c>
      <c r="B7" s="18">
        <f>'Company Inputs'!B9</f>
        <v/>
      </c>
      <c r="C7" s="5" t="n"/>
      <c r="D7" s="5" t="n"/>
      <c r="E7" s="5" t="n"/>
    </row>
    <row r="8" ht="21" customHeight="1">
      <c r="A8" s="5" t="inlineStr">
        <is>
          <t>Final Recommendation</t>
        </is>
      </c>
      <c r="B8" s="7" t="inlineStr">
        <is>
          <t>Watchlist</t>
        </is>
      </c>
      <c r="C8" s="5" t="n"/>
      <c r="D8" s="5" t="n"/>
      <c r="E8" s="5" t="n"/>
    </row>
    <row r="9" ht="45" customHeight="1">
      <c r="A9" s="5" t="inlineStr">
        <is>
          <t>One-Sentence Thesis</t>
        </is>
      </c>
      <c r="B9" s="7" t="inlineStr">
        <is>
          <t>I recommend [recommendation] because [reason 1], [reason 2], and [reason 3], although [key risk].</t>
        </is>
      </c>
      <c r="C9" s="5" t="n"/>
      <c r="D9" s="5" t="n"/>
      <c r="E9" s="5" t="n"/>
    </row>
    <row r="10" ht="45" customHeight="1">
      <c r="A10" s="5" t="inlineStr">
        <is>
          <t>Key Risk</t>
        </is>
      </c>
      <c r="B10" s="7" t="inlineStr">
        <is>
          <t>[Insert the most important risk or assumption.]</t>
        </is>
      </c>
      <c r="C10" s="5" t="n"/>
      <c r="D10" s="5" t="n"/>
      <c r="E10" s="5" t="n"/>
    </row>
    <row r="11" ht="21" customHeight="1"/>
    <row r="12" ht="21" customHeight="1"/>
    <row r="13" ht="23" customHeight="1">
      <c r="A13" s="3" t="inlineStr">
        <is>
          <t>Decision Driver Scorecard</t>
        </is>
      </c>
    </row>
    <row r="14" ht="21" customHeight="1">
      <c r="A14" s="12" t="inlineStr">
        <is>
          <t>Driver</t>
        </is>
      </c>
      <c r="B14" s="12" t="inlineStr">
        <is>
          <t>Metric</t>
        </is>
      </c>
      <c r="C14" s="12" t="inlineStr">
        <is>
          <t>Signal</t>
        </is>
      </c>
      <c r="D14" s="12" t="inlineStr">
        <is>
          <t>Interpretation</t>
        </is>
      </c>
    </row>
    <row r="15" ht="21" customHeight="1">
      <c r="A15" s="5" t="inlineStr">
        <is>
          <t>Financial Health</t>
        </is>
      </c>
      <c r="B15" s="19">
        <f>'Financial Health'!D14</f>
        <v/>
      </c>
      <c r="C15" s="24">
        <f>IF(B15&gt;0.15,"Favorable",IF(B15&lt;0.08,"Unfavorable","Mixed"))</f>
        <v/>
      </c>
      <c r="D15" s="7" t="inlineStr">
        <is>
          <t>[Explain financial health evidence]</t>
        </is>
      </c>
    </row>
    <row r="16" ht="21" customHeight="1">
      <c r="A16" s="5" t="inlineStr">
        <is>
          <t>Valuation</t>
        </is>
      </c>
      <c r="B16" s="19">
        <f>'Valuation'!B25</f>
        <v/>
      </c>
      <c r="C16" s="24">
        <f>IF(B16&gt;0.1,"Favorable",IF(B16&lt;-0.1,"Unfavorable","Mixed"))</f>
        <v/>
      </c>
      <c r="D16" s="7" t="inlineStr">
        <is>
          <t>[Explain valuation evidence]</t>
        </is>
      </c>
    </row>
    <row r="17" ht="21" customHeight="1">
      <c r="A17" s="5" t="inlineStr">
        <is>
          <t>Risk and Return</t>
        </is>
      </c>
      <c r="B17" s="19">
        <f>'Risk and Return'!B15</f>
        <v/>
      </c>
      <c r="C17" s="24">
        <f>IF(B17&gt;0.02,"Favorable",IF(B17&lt;-0.02,"Unfavorable","Mixed"))</f>
        <v/>
      </c>
      <c r="D17" s="7" t="inlineStr">
        <is>
          <t>[Explain risk-return evidence]</t>
        </is>
      </c>
    </row>
    <row r="18" ht="21" customHeight="1">
      <c r="A18" s="5" t="inlineStr">
        <is>
          <t>WACC</t>
        </is>
      </c>
      <c r="B18" s="19">
        <f>'WACC'!B17</f>
        <v/>
      </c>
      <c r="C18" s="24">
        <f>IF(B18&lt;0.08,"Favorable",IF(B18&gt;0.12,"Unfavorable","Mixed"))</f>
        <v/>
      </c>
      <c r="D18" s="7" t="inlineStr">
        <is>
          <t>[Explain WACC evidence]</t>
        </is>
      </c>
    </row>
    <row r="19" ht="21" customHeight="1">
      <c r="A19" s="5" t="inlineStr">
        <is>
          <t>Capital Allocation</t>
        </is>
      </c>
      <c r="B19" s="21">
        <f>'Capital Allocation'!B24</f>
        <v/>
      </c>
      <c r="C19" s="24">
        <f>IF(B19&gt;0,"Favorable","Unfavorable")</f>
        <v/>
      </c>
      <c r="D19" s="7" t="inlineStr">
        <is>
          <t>[Explain capital allocation evidence]</t>
        </is>
      </c>
    </row>
    <row r="20" ht="21" customHeight="1">
      <c r="A20" s="5" t="inlineStr">
        <is>
          <t>Strategic Finance</t>
        </is>
      </c>
      <c r="B20" s="32">
        <f>'Strategic Finance'!B24</f>
        <v/>
      </c>
      <c r="C20" s="24">
        <f>IF(B20&gt;=3,"Favorable",IF(B20&lt;2,"Unfavorable","Mixed"))</f>
        <v/>
      </c>
      <c r="D20" s="7" t="inlineStr">
        <is>
          <t>[Explain strategic finance evidence]</t>
        </is>
      </c>
    </row>
    <row r="21" ht="21" customHeight="1"/>
    <row r="22" ht="21" customHeight="1"/>
    <row r="23" ht="21" customHeight="1"/>
    <row r="24" ht="23" customHeight="1">
      <c r="A24" s="3" t="inlineStr">
        <is>
          <t>Final Recommendation Checklist</t>
        </is>
      </c>
    </row>
    <row r="25" ht="21" customHeight="1">
      <c r="A25" s="12" t="inlineStr">
        <is>
          <t>Requirement</t>
        </is>
      </c>
      <c r="B25" s="12" t="inlineStr">
        <is>
          <t>Complete?</t>
        </is>
      </c>
    </row>
    <row r="26" ht="21" customHeight="1">
      <c r="A26" s="5" t="inlineStr">
        <is>
          <t>Clear recommendation in opening paragraph</t>
        </is>
      </c>
      <c r="B26" s="7" t="inlineStr">
        <is>
          <t>No</t>
        </is>
      </c>
    </row>
    <row r="27" ht="21" customHeight="1">
      <c r="A27" s="5" t="inlineStr">
        <is>
          <t>Company and ticker identified</t>
        </is>
      </c>
      <c r="B27" s="7" t="inlineStr">
        <is>
          <t>No</t>
        </is>
      </c>
    </row>
    <row r="28" ht="21" customHeight="1">
      <c r="A28" s="5" t="inlineStr">
        <is>
          <t>Market price and date included</t>
        </is>
      </c>
      <c r="B28" s="7" t="inlineStr">
        <is>
          <t>No</t>
        </is>
      </c>
    </row>
    <row r="29" ht="21" customHeight="1">
      <c r="A29" s="5" t="inlineStr">
        <is>
          <t>Financial health interpreted</t>
        </is>
      </c>
      <c r="B29" s="7" t="inlineStr">
        <is>
          <t>No</t>
        </is>
      </c>
    </row>
    <row r="30" ht="21" customHeight="1">
      <c r="A30" s="5" t="inlineStr">
        <is>
          <t>Valuation compared with market price</t>
        </is>
      </c>
      <c r="B30" s="7" t="inlineStr">
        <is>
          <t>No</t>
        </is>
      </c>
    </row>
    <row r="31" ht="21" customHeight="1">
      <c r="A31" s="5" t="inlineStr">
        <is>
          <t>Risk and required return discussed</t>
        </is>
      </c>
      <c r="B31" s="7" t="inlineStr">
        <is>
          <t>No</t>
        </is>
      </c>
    </row>
    <row r="32" ht="21" customHeight="1">
      <c r="A32" s="5" t="inlineStr">
        <is>
          <t>WACC interpreted as hurdle rate</t>
        </is>
      </c>
      <c r="B32" s="7" t="inlineStr">
        <is>
          <t>No</t>
        </is>
      </c>
    </row>
    <row r="33" ht="21" customHeight="1">
      <c r="A33" s="5" t="inlineStr">
        <is>
          <t>Capital allocation evidence included</t>
        </is>
      </c>
      <c r="B33" s="7" t="inlineStr">
        <is>
          <t>No</t>
        </is>
      </c>
    </row>
    <row r="34" ht="21" customHeight="1">
      <c r="A34" s="5" t="inlineStr">
        <is>
          <t>Strategic finance and stewardship addressed</t>
        </is>
      </c>
      <c r="B34" s="7" t="inlineStr">
        <is>
          <t>No</t>
        </is>
      </c>
    </row>
    <row r="35" ht="21" customHeight="1">
      <c r="A35" s="5" t="inlineStr">
        <is>
          <t>Risks and limitations explicit</t>
        </is>
      </c>
      <c r="B35" s="7" t="inlineStr">
        <is>
          <t>No</t>
        </is>
      </c>
    </row>
    <row r="36" ht="21" customHeight="1">
      <c r="A36" s="5" t="inlineStr">
        <is>
          <t>Sources documented</t>
        </is>
      </c>
      <c r="B36" s="7" t="inlineStr">
        <is>
          <t>No</t>
        </is>
      </c>
    </row>
    <row r="37" ht="21" customHeight="1"/>
    <row r="38" ht="21" customHeight="1"/>
    <row r="39" ht="21" customHeight="1"/>
    <row r="40" ht="23" customHeight="1">
      <c r="A40" s="3" t="inlineStr">
        <is>
          <t>Dashboard Notes</t>
        </is>
      </c>
    </row>
    <row r="41" ht="21" customHeight="1">
      <c r="A41" s="33" t="inlineStr">
        <is>
          <t>Use this dashboard to write the executive recommendation.</t>
        </is>
      </c>
    </row>
    <row r="42" ht="21" customHeight="1">
      <c r="A42" s="33" t="inlineStr">
        <is>
          <t>Do not force a recommendation. If the evidence is mixed, choose Watchlist or Recommend with Caution.</t>
        </is>
      </c>
    </row>
    <row r="43" ht="21" customHeight="1">
      <c r="A43" s="33" t="inlineStr">
        <is>
          <t>The dashboard is not the final report; it is the evidence map for the final report.</t>
        </is>
      </c>
    </row>
  </sheetData>
  <mergeCells count="11">
    <mergeCell ref="A1:J1"/>
    <mergeCell ref="B9:E9"/>
    <mergeCell ref="A43:E43"/>
    <mergeCell ref="A40:J40"/>
    <mergeCell ref="A42:E42"/>
    <mergeCell ref="A41:E41"/>
    <mergeCell ref="A4:J4"/>
    <mergeCell ref="A24:J24"/>
    <mergeCell ref="A2:J2"/>
    <mergeCell ref="B10:E10"/>
    <mergeCell ref="A13:J13"/>
  </mergeCells>
  <conditionalFormatting sqref="C15">
    <cfRule type="cellIs" priority="1" operator="equal" dxfId="0">
      <formula>"Favorable"</formula>
    </cfRule>
    <cfRule type="cellIs" priority="2" operator="equal" dxfId="1">
      <formula>"Mixed"</formula>
    </cfRule>
    <cfRule type="cellIs" priority="3" operator="equal" dxfId="2">
      <formula>"Unfavorable"</formula>
    </cfRule>
  </conditionalFormatting>
  <conditionalFormatting sqref="C16">
    <cfRule type="cellIs" priority="4" operator="equal" dxfId="0">
      <formula>"Favorable"</formula>
    </cfRule>
    <cfRule type="cellIs" priority="5" operator="equal" dxfId="1">
      <formula>"Mixed"</formula>
    </cfRule>
    <cfRule type="cellIs" priority="6" operator="equal" dxfId="2">
      <formula>"Unfavorable"</formula>
    </cfRule>
  </conditionalFormatting>
  <conditionalFormatting sqref="C17">
    <cfRule type="cellIs" priority="7" operator="equal" dxfId="0">
      <formula>"Favorable"</formula>
    </cfRule>
    <cfRule type="cellIs" priority="8" operator="equal" dxfId="1">
      <formula>"Mixed"</formula>
    </cfRule>
    <cfRule type="cellIs" priority="9" operator="equal" dxfId="2">
      <formula>"Unfavorable"</formula>
    </cfRule>
  </conditionalFormatting>
  <conditionalFormatting sqref="C18">
    <cfRule type="cellIs" priority="10" operator="equal" dxfId="0">
      <formula>"Favorable"</formula>
    </cfRule>
    <cfRule type="cellIs" priority="11" operator="equal" dxfId="1">
      <formula>"Mixed"</formula>
    </cfRule>
    <cfRule type="cellIs" priority="12" operator="equal" dxfId="2">
      <formula>"Unfavorable"</formula>
    </cfRule>
  </conditionalFormatting>
  <conditionalFormatting sqref="C19">
    <cfRule type="cellIs" priority="13" operator="equal" dxfId="0">
      <formula>"Favorable"</formula>
    </cfRule>
    <cfRule type="cellIs" priority="14" operator="equal" dxfId="1">
      <formula>"Mixed"</formula>
    </cfRule>
    <cfRule type="cellIs" priority="15" operator="equal" dxfId="2">
      <formula>"Unfavorable"</formula>
    </cfRule>
  </conditionalFormatting>
  <conditionalFormatting sqref="C20">
    <cfRule type="cellIs" priority="16" operator="equal" dxfId="0">
      <formula>"Favorable"</formula>
    </cfRule>
    <cfRule type="cellIs" priority="17" operator="equal" dxfId="1">
      <formula>"Mixed"</formula>
    </cfRule>
    <cfRule type="cellIs" priority="18" operator="equal" dxfId="2">
      <formula>"Unfavorable"</formula>
    </cfRule>
  </conditionalFormatting>
  <conditionalFormatting sqref="B26">
    <cfRule type="cellIs" priority="19" operator="equal" dxfId="0">
      <formula>"Yes"</formula>
    </cfRule>
    <cfRule type="cellIs" priority="20" operator="equal" dxfId="2">
      <formula>"No"</formula>
    </cfRule>
  </conditionalFormatting>
  <conditionalFormatting sqref="B27">
    <cfRule type="cellIs" priority="21" operator="equal" dxfId="0">
      <formula>"Yes"</formula>
    </cfRule>
    <cfRule type="cellIs" priority="22" operator="equal" dxfId="2">
      <formula>"No"</formula>
    </cfRule>
  </conditionalFormatting>
  <conditionalFormatting sqref="B28">
    <cfRule type="cellIs" priority="23" operator="equal" dxfId="0">
      <formula>"Yes"</formula>
    </cfRule>
    <cfRule type="cellIs" priority="24" operator="equal" dxfId="2">
      <formula>"No"</formula>
    </cfRule>
  </conditionalFormatting>
  <conditionalFormatting sqref="B29">
    <cfRule type="cellIs" priority="25" operator="equal" dxfId="0">
      <formula>"Yes"</formula>
    </cfRule>
    <cfRule type="cellIs" priority="26" operator="equal" dxfId="2">
      <formula>"No"</formula>
    </cfRule>
  </conditionalFormatting>
  <conditionalFormatting sqref="B30">
    <cfRule type="cellIs" priority="27" operator="equal" dxfId="0">
      <formula>"Yes"</formula>
    </cfRule>
    <cfRule type="cellIs" priority="28" operator="equal" dxfId="2">
      <formula>"No"</formula>
    </cfRule>
  </conditionalFormatting>
  <conditionalFormatting sqref="B31">
    <cfRule type="cellIs" priority="29" operator="equal" dxfId="0">
      <formula>"Yes"</formula>
    </cfRule>
    <cfRule type="cellIs" priority="30" operator="equal" dxfId="2">
      <formula>"No"</formula>
    </cfRule>
  </conditionalFormatting>
  <conditionalFormatting sqref="B32">
    <cfRule type="cellIs" priority="31" operator="equal" dxfId="0">
      <formula>"Yes"</formula>
    </cfRule>
    <cfRule type="cellIs" priority="32" operator="equal" dxfId="2">
      <formula>"No"</formula>
    </cfRule>
  </conditionalFormatting>
  <conditionalFormatting sqref="B33">
    <cfRule type="cellIs" priority="33" operator="equal" dxfId="0">
      <formula>"Yes"</formula>
    </cfRule>
    <cfRule type="cellIs" priority="34" operator="equal" dxfId="2">
      <formula>"No"</formula>
    </cfRule>
  </conditionalFormatting>
  <conditionalFormatting sqref="B34">
    <cfRule type="cellIs" priority="35" operator="equal" dxfId="0">
      <formula>"Yes"</formula>
    </cfRule>
    <cfRule type="cellIs" priority="36" operator="equal" dxfId="2">
      <formula>"No"</formula>
    </cfRule>
  </conditionalFormatting>
  <conditionalFormatting sqref="B35">
    <cfRule type="cellIs" priority="37" operator="equal" dxfId="0">
      <formula>"Yes"</formula>
    </cfRule>
    <cfRule type="cellIs" priority="38" operator="equal" dxfId="2">
      <formula>"No"</formula>
    </cfRule>
  </conditionalFormatting>
  <conditionalFormatting sqref="B36">
    <cfRule type="cellIs" priority="39" operator="equal" dxfId="0">
      <formula>"Yes"</formula>
    </cfRule>
    <cfRule type="cellIs" priority="40" operator="equal" dxfId="2">
      <formula>"No"</formula>
    </cfRule>
  </conditionalFormatting>
  <dataValidations count="2">
    <dataValidation sqref="B8" showDropDown="0" showInputMessage="0" showErrorMessage="0" allowBlank="0" type="list">
      <formula1>"Recommend,Recommend with Caution,Watchlist,Do Not Recommend"</formula1>
    </dataValidation>
    <dataValidation sqref="B26 B27 B28 B29 B30 B31 B32 B33 B34 B35 B36" showDropDown="0" showInputMessage="0" showErrorMessage="0" allowBlank="0" type="list">
      <formula1>"Yes,No"</formula1>
    </dataValidation>
  </dataValidations>
  <hyperlinks>
    <hyperlink xmlns:r="http://schemas.openxmlformats.org/officeDocument/2006/relationships" ref="G3" r:id="rId1"/>
    <hyperlink xmlns:r="http://schemas.openxmlformats.org/officeDocument/2006/relationships" ref="H3" r:id="rId2"/>
    <hyperlink xmlns:r="http://schemas.openxmlformats.org/officeDocument/2006/relationships" ref="I3" r:id="rId3"/>
    <hyperlink xmlns:r="http://schemas.openxmlformats.org/officeDocument/2006/relationships" ref="J3" r:id="rId4"/>
  </hyperlink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56" customWidth="1" min="3" max="3"/>
    <col width="18" customWidth="1" min="4" max="4"/>
    <col width="4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0" customHeight="1">
      <c r="A1" s="1" t="inlineStr">
        <is>
          <t>Sources</t>
        </is>
      </c>
    </row>
    <row r="2" ht="23" customHeight="1">
      <c r="A2" s="2" t="inlineStr">
        <is>
          <t>Plain-text source log for data and assumptions.</t>
        </is>
      </c>
    </row>
    <row r="3" ht="21" customHeight="1"/>
    <row r="4" ht="23" customHeight="1">
      <c r="A4" s="3" t="inlineStr">
        <is>
          <t>Source Log</t>
        </is>
      </c>
    </row>
    <row r="5" ht="21" customHeight="1">
      <c r="A5" s="12" t="inlineStr">
        <is>
          <t>Category</t>
        </is>
      </c>
      <c r="B5" s="12" t="inlineStr">
        <is>
          <t>Data Item</t>
        </is>
      </c>
      <c r="C5" s="12" t="inlineStr">
        <is>
          <t>Plain-Text URL or Source Name</t>
        </is>
      </c>
      <c r="D5" s="12" t="inlineStr">
        <is>
          <t>Date Accessed</t>
        </is>
      </c>
      <c r="E5" s="12" t="inlineStr">
        <is>
          <t>Notes</t>
        </is>
      </c>
    </row>
    <row r="6" ht="21" customHeight="1">
      <c r="A6" s="5" t="inlineStr">
        <is>
          <t>Annual report</t>
        </is>
      </c>
      <c r="B6" s="5" t="inlineStr">
        <is>
          <t>Financial statements</t>
        </is>
      </c>
      <c r="C6" s="5" t="inlineStr">
        <is>
          <t>Paste annual report / 10-K source here</t>
        </is>
      </c>
      <c r="D6" s="5" t="inlineStr"/>
      <c r="E6" s="5" t="inlineStr">
        <is>
          <t>Use for financial statement inputs.</t>
        </is>
      </c>
    </row>
    <row r="7" ht="21" customHeight="1">
      <c r="A7" s="5" t="inlineStr">
        <is>
          <t>Market data</t>
        </is>
      </c>
      <c r="B7" s="5" t="inlineStr">
        <is>
          <t>Current price</t>
        </is>
      </c>
      <c r="C7" s="5" t="inlineStr">
        <is>
          <t>Paste market data source here</t>
        </is>
      </c>
      <c r="D7" s="5" t="inlineStr"/>
      <c r="E7" s="5" t="inlineStr">
        <is>
          <t>Record observation date.</t>
        </is>
      </c>
    </row>
    <row r="8" ht="21" customHeight="1">
      <c r="A8" s="5" t="inlineStr">
        <is>
          <t>Market data</t>
        </is>
      </c>
      <c r="B8" s="5" t="inlineStr">
        <is>
          <t>Beta</t>
        </is>
      </c>
      <c r="C8" s="5" t="inlineStr">
        <is>
          <t>Paste beta source here</t>
        </is>
      </c>
      <c r="D8" s="5" t="inlineStr"/>
      <c r="E8" s="5" t="inlineStr">
        <is>
          <t>Record source methodology if available.</t>
        </is>
      </c>
    </row>
    <row r="9" ht="21" customHeight="1">
      <c r="A9" s="5" t="inlineStr">
        <is>
          <t>Assumption</t>
        </is>
      </c>
      <c r="B9" s="5" t="inlineStr">
        <is>
          <t>Risk-free rate</t>
        </is>
      </c>
      <c r="C9" s="5" t="inlineStr">
        <is>
          <t>Paste source here</t>
        </is>
      </c>
      <c r="D9" s="5" t="inlineStr"/>
      <c r="E9" s="5" t="inlineStr">
        <is>
          <t>Treasury rate or instructor assumption.</t>
        </is>
      </c>
    </row>
    <row r="10" ht="21" customHeight="1">
      <c r="A10" s="5" t="inlineStr">
        <is>
          <t>Assumption</t>
        </is>
      </c>
      <c r="B10" s="5" t="inlineStr">
        <is>
          <t>Market return</t>
        </is>
      </c>
      <c r="C10" s="5" t="inlineStr">
        <is>
          <t>Paste source here</t>
        </is>
      </c>
      <c r="D10" s="5" t="inlineStr"/>
      <c r="E10" s="5" t="inlineStr">
        <is>
          <t>Historical or expected market return.</t>
        </is>
      </c>
    </row>
    <row r="11" ht="21" customHeight="1">
      <c r="A11" s="5" t="inlineStr">
        <is>
          <t>Peer data</t>
        </is>
      </c>
      <c r="B11" s="5" t="inlineStr">
        <is>
          <t>P/E multiple</t>
        </is>
      </c>
      <c r="C11" s="5" t="inlineStr">
        <is>
          <t>Paste source here</t>
        </is>
      </c>
      <c r="D11" s="5" t="inlineStr"/>
      <c r="E11" s="5" t="inlineStr">
        <is>
          <t>Document peer set or industry basis.</t>
        </is>
      </c>
    </row>
  </sheetData>
  <mergeCells count="3">
    <mergeCell ref="A1:J1"/>
    <mergeCell ref="A4:J4"/>
    <mergeCell ref="A2:J2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2026-08-16T11:19:29Z</dcterms:created>
  <dcterms:modified xmlns:dcterms="http://purl.org/dc/terms/" xmlns:xsi="http://www.w3.org/2001/XMLSchema-instance" xsi:type="dcterms:W3CDTF">2026-08-16T11:19:29Z</dcterms:modified>
</cp:coreProperties>
</file>